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7bb68af62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cb335c84a2ab410a"/>
    <x:sheet xmlns:r="http://schemas.openxmlformats.org/officeDocument/2006/relationships" name="販売記録" sheetId="2" r:id="Rc1c4cb36be6f4ad3"/>
    <x:sheet xmlns:r="http://schemas.openxmlformats.org/officeDocument/2006/relationships" name="集計チャレンジ" sheetId="3" r:id="Rab0af6c26477437c"/>
    <x:sheet xmlns:r="http://schemas.openxmlformats.org/officeDocument/2006/relationships" name="商品マスタ" sheetId="4" r:id="R92776a72bb714f39"/>
    <x:sheet xmlns:r="http://schemas.openxmlformats.org/officeDocument/2006/relationships" name="答え合わせ" sheetId="5" r:id="R0a2336785389438f"/>
  </x:sheets>
</x:workbook>
</file>

<file path=xl/comments1.xml><?xml version="1.0" encoding="utf-8"?>
<x:comments xmlns:x="http://schemas.openxmlformats.org/spreadsheetml/2006/main">
  <x:authors>
    <x:author>tc={1C19CABD-8C39-0806-E5DB-1FF73126F57B}</x:author>
    <x:author>tc={1F97320F-7BAD-03AE-1656-EA21CB154FE1}</x:author>
  </x:authors>
  <x:commentList>
    <x:comment ref="H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ここに =F4*G4 を入力し、H27までコピーします。</x:t>
        </x:r>
      </x:text>
    </x:comment>
    <x:comment ref="I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ここに売上区分のIF式を入力し、I27までコピーします。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yyyy-mm-dd"/>
    <x:numFmt numFmtId="202" formatCode="#,##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B57"/>
      <x:name val="Carlito"/>
    </x:font>
    <x:font>
      <x:b/>
      <x:sz val="11"/>
      <x:color rgb="FFFFFFFF"/>
      <x:name val="Carlito"/>
    </x:font>
    <x:font>
      <x:b/>
      <x:sz val="11"/>
      <x:color rgb="FFAD7500"/>
      <x:name val="Carlito"/>
    </x:font>
    <x:font>
      <x:b/>
      <x:sz val="11"/>
      <x:color rgb="FFB83A4B"/>
      <x:name val="Carlito"/>
    </x:font>
    <x:font>
      <x:b/>
      <x:sz val="18"/>
      <x:color rgb="FFFFFFFF"/>
      <x:name val="Yu Gothic"/>
    </x:font>
    <x:font>
      <x:sz val="11"/>
      <x:name val="Yu Gothic"/>
    </x:font>
    <x:font>
      <x:b/>
      <x:sz val="11"/>
      <x:color rgb="FF173B57"/>
      <x:name val="Yu Gothic"/>
    </x:font>
    <x:font>
      <x:b/>
      <x:sz val="11"/>
      <x:color rgb="FFFFFFFF"/>
      <x:name val="Yu Gothic"/>
    </x:font>
    <x:font>
      <x:b/>
      <x:sz val="11"/>
      <x:color rgb="FFAD7500"/>
      <x:name val="Yu Gothic"/>
    </x:font>
    <x:font>
      <x:b/>
      <x:sz val="11"/>
      <x:color rgb="FFB83A4B"/>
      <x:name val="Yu Gothic"/>
    </x:font>
    <x:font>
      <x:sz val="11"/>
      <x:color rgb="FFB83A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FF4FB"/>
      </x:patternFill>
    </x:fill>
    <x:fill>
      <x:patternFill patternType="solid">
        <x:fgColor rgb="FF087F73"/>
      </x:patternFill>
    </x:fill>
    <x:fill>
      <x:patternFill patternType="solid">
        <x:fgColor rgb="FFFFF7DC"/>
      </x:patternFill>
    </x:fill>
    <x:fill>
      <x:patternFill patternType="solid">
        <x:fgColor rgb="FFFFF0F2"/>
      </x:patternFill>
    </x:fill>
    <x:fill>
      <x:patternFill patternType="solid">
        <x:fgColor rgb="FFE9F7F1"/>
      </x:patternFill>
    </x:fill>
  </x:fills>
  <x:borders count="38">
    <x:border/>
    <x:border>
      <x:left style="thin">
        <x:color rgb="FF8BC2D8"/>
      </x:left>
      <x:top style="thin">
        <x:color rgb="FF8BC2D8"/>
      </x:top>
      <x:bottom style="thin">
        <x:color rgb="FF8BC2D8"/>
      </x:bottom>
    </x:border>
    <x:border>
      <x:top style="thin">
        <x:color rgb="FF8BC2D8"/>
      </x:top>
      <x:bottom style="thin">
        <x:color rgb="FF8BC2D8"/>
      </x:bottom>
    </x:border>
    <x:border>
      <x:right style="thin">
        <x:color rgb="FF8BC2D8"/>
      </x:right>
      <x:top style="thin">
        <x:color rgb="FF8BC2D8"/>
      </x:top>
      <x:bottom style="thin">
        <x:color rgb="FF8BC2D8"/>
      </x:bottom>
    </x:border>
    <x:border>
      <x:right style="thin">
        <x:color rgb="FF72AFA8"/>
      </x:right>
    </x:border>
    <x:border>
      <x:left style="thin">
        <x:color rgb="FF72AFA8"/>
      </x:left>
    </x:border>
    <x:border>
      <x:bottom style="thin">
        <x:color rgb="FFD8E3DF"/>
      </x:bottom>
    </x:border>
    <x:border>
      <x:top style="thin">
        <x:color rgb="FFD8E3DF"/>
      </x:top>
      <x:bottom style="thin">
        <x:color rgb="FFD8E3DF"/>
      </x:bottom>
    </x:border>
    <x:border>
      <x:top style="thin">
        <x:color rgb="FFD8E3DF"/>
      </x:top>
    </x:border>
    <x:border>
      <x:left style="thin">
        <x:color rgb="FFE4A4AE"/>
      </x:left>
      <x:top style="thin">
        <x:color rgb="FFE4A4AE"/>
      </x:top>
      <x:bottom style="thin">
        <x:color rgb="FFE4A4AE"/>
      </x:bottom>
    </x:border>
    <x:border>
      <x:top style="thin">
        <x:color rgb="FFE4A4AE"/>
      </x:top>
      <x:bottom style="thin">
        <x:color rgb="FFE4A4AE"/>
      </x:bottom>
    </x:border>
    <x:border>
      <x:right style="thin">
        <x:color rgb="FFE4A4AE"/>
      </x:right>
      <x:top style="thin">
        <x:color rgb="FFE4A4AE"/>
      </x:top>
      <x:bottom style="thin">
        <x:color rgb="FFE4A4AE"/>
      </x:bottom>
    </x:border>
    <x:border>
      <x:left style="thin">
        <x:color rgb="FF72AFA8"/>
      </x:left>
      <x:right style="thin">
        <x:color rgb="FF72AFA8"/>
      </x:right>
    </x:border>
    <x:border>
      <x:right style="thin">
        <x:color rgb="FFD8E3DF"/>
      </x:right>
      <x:bottom style="thin">
        <x:color rgb="FFD8E3DF"/>
      </x:bottom>
    </x:border>
    <x:border>
      <x:left style="thin">
        <x:color rgb="FFD8E3DF"/>
      </x:left>
      <x:right style="thin">
        <x:color rgb="FFD8E3DF"/>
      </x:right>
      <x:bottom style="thin">
        <x:color rgb="FFD8E3DF"/>
      </x:bottom>
    </x:border>
    <x:border>
      <x:left style="thin">
        <x:color rgb="FFD8E3DF"/>
      </x:left>
      <x:bottom style="thin">
        <x:color rgb="FFD8E3DF"/>
      </x:bottom>
    </x:border>
    <x:border>
      <x:right style="thin">
        <x:color rgb="FFD8E3DF"/>
      </x:right>
      <x:top style="thin">
        <x:color rgb="FFD8E3DF"/>
      </x:top>
      <x:bottom style="thin">
        <x:color rgb="FFD8E3DF"/>
      </x:bottom>
    </x:border>
    <x:border>
      <x:left style="thin">
        <x:color rgb="FFD8E3DF"/>
      </x:left>
      <x:right style="thin">
        <x:color rgb="FFD8E3DF"/>
      </x:right>
      <x:top style="thin">
        <x:color rgb="FFD8E3DF"/>
      </x:top>
      <x:bottom style="thin">
        <x:color rgb="FFD8E3DF"/>
      </x:bottom>
    </x:border>
    <x:border>
      <x:left style="thin">
        <x:color rgb="FFD8E3DF"/>
      </x:left>
      <x:top style="thin">
        <x:color rgb="FFD8E3DF"/>
      </x:top>
      <x:bottom style="thin">
        <x:color rgb="FFD8E3DF"/>
      </x:bottom>
    </x:border>
    <x:border>
      <x:right style="thin">
        <x:color rgb="FFD8E3DF"/>
      </x:right>
      <x:top style="thin">
        <x:color rgb="FFD8E3DF"/>
      </x:top>
    </x:border>
    <x:border>
      <x:left style="thin">
        <x:color rgb="FFD8E3DF"/>
      </x:left>
      <x:right style="thin">
        <x:color rgb="FFD8E3DF"/>
      </x:right>
      <x:top style="thin">
        <x:color rgb="FFD8E3DF"/>
      </x:top>
    </x:border>
    <x:border>
      <x:left style="thin">
        <x:color rgb="FFD8E3DF"/>
      </x:left>
      <x:top style="thin">
        <x:color rgb="FFD8E3DF"/>
      </x:top>
    </x:border>
    <x:border>
      <x:left style="thin">
        <x:color rgb="FF8BC2D8"/>
      </x:left>
      <x:top style="thin">
        <x:color rgb="FF8BC2D8"/>
      </x:top>
    </x:border>
    <x:border>
      <x:top style="thin">
        <x:color rgb="FF8BC2D8"/>
      </x:top>
    </x:border>
    <x:border>
      <x:right style="thin">
        <x:color rgb="FF8BC2D8"/>
      </x:right>
      <x:top style="thin">
        <x:color rgb="FF8BC2D8"/>
      </x:top>
    </x:border>
    <x:border>
      <x:left style="thin">
        <x:color rgb="FF8BC2D8"/>
      </x:left>
    </x:border>
    <x:border>
      <x:right style="thin">
        <x:color rgb="FF8BC2D8"/>
      </x:right>
    </x:border>
    <x:border>
      <x:left style="thin">
        <x:color rgb="FF8BC2D8"/>
      </x:left>
      <x:bottom style="thin">
        <x:color rgb="FF8BC2D8"/>
      </x:bottom>
    </x:border>
    <x:border>
      <x:bottom style="thin">
        <x:color rgb="FF8BC2D8"/>
      </x:bottom>
    </x:border>
    <x:border>
      <x:right style="thin">
        <x:color rgb="FF8BC2D8"/>
      </x:right>
      <x:bottom style="thin">
        <x:color rgb="FF8BC2D8"/>
      </x:bottom>
    </x:border>
    <x:border>
      <x:left style="thin">
        <x:color rgb="FFE4A4AE"/>
      </x:left>
      <x:top style="thin">
        <x:color rgb="FFE4A4AE"/>
      </x:top>
    </x:border>
    <x:border>
      <x:top style="thin">
        <x:color rgb="FFE4A4AE"/>
      </x:top>
    </x:border>
    <x:border>
      <x:right style="thin">
        <x:color rgb="FFE4A4AE"/>
      </x:right>
      <x:top style="thin">
        <x:color rgb="FFE4A4AE"/>
      </x:top>
    </x:border>
    <x:border>
      <x:left style="thin">
        <x:color rgb="FFE4A4AE"/>
      </x:left>
    </x:border>
    <x:border>
      <x:right style="thin">
        <x:color rgb="FFE4A4AE"/>
      </x:right>
    </x:border>
    <x:border>
      <x:left style="thin">
        <x:color rgb="FFE4A4AE"/>
      </x:left>
      <x:bottom style="thin">
        <x:color rgb="FFE4A4AE"/>
      </x:bottom>
    </x:border>
    <x:border>
      <x:bottom style="thin">
        <x:color rgb="FFE4A4AE"/>
      </x:bottom>
    </x:border>
    <x:border>
      <x:right style="thin">
        <x:color rgb="FFE4A4AE"/>
      </x:right>
      <x:bottom style="thin">
        <x:color rgb="FFE4A4AE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11" fillId="6" borderId="9" xfId="0" applyNumberFormat="1" applyFont="1" applyFill="1" applyBorder="1" applyAlignment="1">
      <x:alignment wrapText="1"/>
    </x:xf>
    <x:xf numFmtId="0" fontId="11" fillId="6" borderId="10" xfId="0" applyNumberFormat="1" applyFont="1" applyFill="1" applyBorder="1" applyAlignment="1">
      <x:alignment wrapText="1"/>
    </x:xf>
    <x:xf numFmtId="0" fontId="11" fillId="6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0" fontId="0" fillId="0" borderId="2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13" xfId="0" applyNumberFormat="1" applyFont="1" applyFill="1" applyBorder="1"/>
    <x:xf numFmtId="201" fontId="0" fillId="0" borderId="16" xfId="0" applyNumberFormat="1" applyFont="1" applyFill="1" applyBorder="1"/>
    <x:xf numFmtId="201" fontId="0" fillId="0" borderId="19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202" fontId="0" fillId="0" borderId="2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5" borderId="14" xfId="0" applyNumberFormat="1" applyFont="1" applyFill="1" applyBorder="1"/>
    <x:xf numFmtId="0" fontId="0" fillId="5" borderId="14" xfId="0" applyNumberFormat="1" applyFont="1" applyFill="1" applyBorder="1"/>
    <x:xf numFmtId="200" fontId="0" fillId="5" borderId="17" xfId="0" applyNumberFormat="1" applyFont="1" applyFill="1" applyBorder="1"/>
    <x:xf numFmtId="0" fontId="0" fillId="5" borderId="17" xfId="0" applyNumberFormat="1" applyFont="1" applyFill="1" applyBorder="1"/>
    <x:xf numFmtId="200" fontId="0" fillId="5" borderId="20" xfId="0" applyNumberFormat="1" applyFont="1" applyFill="1" applyBorder="1"/>
    <x:xf numFmtId="0" fontId="0" fillId="5" borderId="20" xfId="0" applyNumberFormat="1" applyFont="1" applyFill="1" applyBorder="1"/>
    <x:xf numFmtId="0" fontId="0" fillId="3" borderId="15" xfId="0" applyNumberFormat="1" applyFont="1" applyFill="1" applyBorder="1"/>
    <x:xf numFmtId="0" fontId="0" fillId="3" borderId="18" xfId="0" applyNumberFormat="1" applyFont="1" applyFill="1" applyBorder="1"/>
    <x:xf numFmtId="0" fontId="0" fillId="3" borderId="21" xfId="0" applyNumberFormat="1" applyFont="1" applyFill="1" applyBorder="1"/>
    <x:xf numFmtId="20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8" xfId="0" applyNumberFormat="1" applyFont="1" applyFill="1" applyBorder="1"/>
    <x:xf numFmtId="0" fontId="2" fillId="7" borderId="7" xfId="0" applyNumberFormat="1" applyFont="1" applyFill="1" applyBorder="1"/>
    <x:xf numFmtId="0" fontId="2" fillId="7" borderId="16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25" xfId="0" applyNumberFormat="1" applyFont="1" applyFill="1" applyBorder="1"/>
    <x:xf numFmtId="0" fontId="0" fillId="3" borderId="26" xfId="0" applyNumberFormat="1" applyFont="1" applyFill="1" applyBorder="1"/>
    <x:xf numFmtId="0" fontId="0" fillId="3" borderId="27" xfId="0" applyNumberFormat="1" applyFont="1" applyFill="1" applyBorder="1"/>
    <x:xf numFmtId="0" fontId="0" fillId="3" borderId="28" xfId="0" applyNumberFormat="1" applyFont="1" applyFill="1" applyBorder="1"/>
    <x:xf numFmtId="0" fontId="0" fillId="3" borderId="29" xfId="0" applyNumberFormat="1" applyFont="1" applyFill="1" applyBorder="1"/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2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6" xfId="0" applyNumberFormat="1" applyFont="1" applyFill="1" applyBorder="1" applyAlignment="1">
      <x:alignment wrapText="1"/>
    </x:xf>
    <x:xf numFmtId="0" fontId="0" fillId="3" borderId="27" xfId="0" applyNumberFormat="1" applyFont="1" applyFill="1" applyBorder="1" applyAlignment="1">
      <x:alignment wrapText="1"/>
    </x:xf>
    <x:xf numFmtId="0" fontId="0" fillId="3" borderId="28" xfId="0" applyNumberFormat="1" applyFont="1" applyFill="1" applyBorder="1" applyAlignment="1">
      <x:alignment wrapText="1"/>
    </x:xf>
    <x:xf numFmtId="0" fontId="0" fillId="3" borderId="29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23" xfId="0" applyNumberFormat="1" applyFont="1" applyFill="1" applyBorder="1" applyAlignment="1">
      <x:alignment vertical="top" wrapText="1"/>
    </x:xf>
    <x:xf numFmtId="0" fontId="0" fillId="3" borderId="24" xfId="0" applyNumberFormat="1" applyFont="1" applyFill="1" applyBorder="1" applyAlignment="1">
      <x:alignment vertical="top" wrapText="1"/>
    </x:xf>
    <x:xf numFmtId="0" fontId="0" fillId="3" borderId="2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26" xfId="0" applyNumberFormat="1" applyFont="1" applyFill="1" applyBorder="1" applyAlignment="1">
      <x:alignment vertical="top" wrapText="1"/>
    </x:xf>
    <x:xf numFmtId="0" fontId="0" fillId="3" borderId="27" xfId="0" applyNumberFormat="1" applyFont="1" applyFill="1" applyBorder="1" applyAlignment="1">
      <x:alignment vertical="top" wrapText="1"/>
    </x:xf>
    <x:xf numFmtId="0" fontId="0" fillId="3" borderId="28" xfId="0" applyNumberFormat="1" applyFont="1" applyFill="1" applyBorder="1" applyAlignment="1">
      <x:alignment vertical="top" wrapText="1"/>
    </x:xf>
    <x:xf numFmtId="0" fontId="0" fillId="3" borderId="29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12" fillId="6" borderId="30" xfId="0" applyNumberFormat="1" applyFont="1" applyFill="1" applyBorder="1"/>
    <x:xf numFmtId="0" fontId="12" fillId="6" borderId="31" xfId="0" applyNumberFormat="1" applyFont="1" applyFill="1" applyBorder="1"/>
    <x:xf numFmtId="0" fontId="12" fillId="6" borderId="32" xfId="0" applyNumberFormat="1" applyFont="1" applyFill="1" applyBorder="1"/>
    <x:xf numFmtId="0" fontId="12" fillId="6" borderId="33" xfId="0" applyNumberFormat="1" applyFont="1" applyFill="1" applyBorder="1"/>
    <x:xf numFmtId="0" fontId="12" fillId="6" borderId="34" xfId="0" applyNumberFormat="1" applyFont="1" applyFill="1" applyBorder="1"/>
    <x:xf numFmtId="0" fontId="12" fillId="6" borderId="35" xfId="0" applyNumberFormat="1" applyFont="1" applyFill="1" applyBorder="1"/>
    <x:xf numFmtId="0" fontId="12" fillId="6" borderId="36" xfId="0" applyNumberFormat="1" applyFont="1" applyFill="1" applyBorder="1"/>
    <x:xf numFmtId="0" fontId="12" fillId="6" borderId="37" xfId="0" applyNumberFormat="1" applyFont="1" applyFill="1" applyBorder="1"/>
    <x:xf numFmtId="0" fontId="12" fillId="6" borderId="30" xfId="0" applyNumberFormat="1" applyFont="1" applyFill="1" applyBorder="1" applyAlignment="1">
      <x:alignment wrapText="1"/>
    </x:xf>
    <x:xf numFmtId="0" fontId="12" fillId="6" borderId="31" xfId="0" applyNumberFormat="1" applyFont="1" applyFill="1" applyBorder="1" applyAlignment="1">
      <x:alignment wrapText="1"/>
    </x:xf>
    <x:xf numFmtId="0" fontId="12" fillId="6" borderId="32" xfId="0" applyNumberFormat="1" applyFont="1" applyFill="1" applyBorder="1" applyAlignment="1">
      <x:alignment wrapText="1"/>
    </x:xf>
    <x:xf numFmtId="0" fontId="12" fillId="6" borderId="33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34" xfId="0" applyNumberFormat="1" applyFont="1" applyFill="1" applyBorder="1" applyAlignment="1">
      <x:alignment wrapText="1"/>
    </x:xf>
    <x:xf numFmtId="0" fontId="12" fillId="6" borderId="35" xfId="0" applyNumberFormat="1" applyFont="1" applyFill="1" applyBorder="1" applyAlignment="1">
      <x:alignment wrapText="1"/>
    </x:xf>
    <x:xf numFmtId="0" fontId="12" fillId="6" borderId="36" xfId="0" applyNumberFormat="1" applyFont="1" applyFill="1" applyBorder="1" applyAlignment="1">
      <x:alignment wrapText="1"/>
    </x:xf>
    <x:xf numFmtId="0" fontId="12" fillId="6" borderId="37" xfId="0" applyNumberFormat="1" applyFont="1" applyFill="1" applyBorder="1" applyAlignment="1">
      <x:alignment wrapText="1"/>
    </x:xf>
    <x:xf numFmtId="0" fontId="12" fillId="6" borderId="30" xfId="0" applyNumberFormat="1" applyFont="1" applyFill="1" applyBorder="1" applyAlignment="1">
      <x:alignment vertical="top" wrapText="1"/>
    </x:xf>
    <x:xf numFmtId="0" fontId="12" fillId="6" borderId="31" xfId="0" applyNumberFormat="1" applyFont="1" applyFill="1" applyBorder="1" applyAlignment="1">
      <x:alignment vertical="top" wrapText="1"/>
    </x:xf>
    <x:xf numFmtId="0" fontId="12" fillId="6" borderId="32" xfId="0" applyNumberFormat="1" applyFont="1" applyFill="1" applyBorder="1" applyAlignment="1">
      <x:alignment vertical="top" wrapText="1"/>
    </x:xf>
    <x:xf numFmtId="0" fontId="12" fillId="6" borderId="33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0" fontId="12" fillId="6" borderId="34" xfId="0" applyNumberFormat="1" applyFont="1" applyFill="1" applyBorder="1" applyAlignment="1">
      <x:alignment vertical="top" wrapText="1"/>
    </x:xf>
    <x:xf numFmtId="0" fontId="12" fillId="6" borderId="35" xfId="0" applyNumberFormat="1" applyFont="1" applyFill="1" applyBorder="1" applyAlignment="1">
      <x:alignment vertical="top" wrapText="1"/>
    </x:xf>
    <x:xf numFmtId="0" fontId="12" fillId="6" borderId="36" xfId="0" applyNumberFormat="1" applyFont="1" applyFill="1" applyBorder="1" applyAlignment="1">
      <x:alignment vertical="top" wrapText="1"/>
    </x:xf>
    <x:xf numFmtId="0" fontId="12" fillId="6" borderId="3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83A4B"/>
      </x:font>
      <x:fill>
        <x:patternFill>
          <x:bgColor rgb="FFFFF0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55028a6794eae" /><Relationship Type="http://schemas.openxmlformats.org/officeDocument/2006/relationships/theme" Target="/xl/theme/theme1.xml" Id="R116ac788997f400d" /><Relationship Type="http://schemas.openxmlformats.org/officeDocument/2006/relationships/sharedStrings" Target="/xl/sharedStrings.xml" Id="R9ac3156e5aa6470d" /><Relationship Type="http://schemas.openxmlformats.org/officeDocument/2006/relationships/worksheet" Target="/xl/worksheets/sheet1.xml" Id="Rcb335c84a2ab410a" /><Relationship Type="http://schemas.openxmlformats.org/officeDocument/2006/relationships/worksheet" Target="/xl/worksheets/sheet2.xml" Id="Rc1c4cb36be6f4ad3" /><Relationship Type="http://schemas.openxmlformats.org/officeDocument/2006/relationships/worksheet" Target="/xl/worksheets/sheet3.xml" Id="Rab0af6c26477437c" /><Relationship Type="http://schemas.openxmlformats.org/officeDocument/2006/relationships/worksheet" Target="/xl/worksheets/sheet4.xml" Id="R92776a72bb714f39" /><Relationship Type="http://schemas.openxmlformats.org/officeDocument/2006/relationships/worksheet" Target="/xl/worksheets/sheet5.xml" Id="R0a2336785389438f" /><Relationship Type="http://schemas.microsoft.com/office/2017/10/relationships/person" Target="/xl/persons/person.xml" Id="R28ddd7fe86df49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4c0f246c6b41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地区別売上（マスタ単価・表記正規化後）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売上合計</c:v>
          </c:tx>
          <c:cat>
            <c:strRef>
              <c:f>'答え合わせ'!$A$12:$A$15</c:f>
              <c:strCache>
                <c:ptCount val="0"/>
              </c:strCache>
            </c:strRef>
          </c:cat>
          <c:val>
            <c:numRef>
              <c:f>'答え合わせ'!$B$12:$B$15</c:f>
              <c:numCache>
                <c:formatCode>¥#,##0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3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4c0f246c6b41b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澤 良弘" id="{DC82AF89-7000-415B-9B01-B0E0BCD01278}"/>
</xltc:personList>
</file>

<file path=xl/tables/table1.xml><?xml version="1.0" encoding="utf-8"?>
<x:table xmlns:x="http://schemas.openxmlformats.org/spreadsheetml/2006/main" id="1" name="SalesPracticeTable" displayName="SalesPracticeTable" ref="A3:J27" headerRowCount="1" totalsRowCount="0" totalsRowShown="0">
  <x:tableColumns count="10">
    <x:tableColumn id="1" name="日付"/>
    <x:tableColumn id="2" name="伝票No"/>
    <x:tableColumn id="3" name="商品コード"/>
    <x:tableColumn id="4" name="商品名"/>
    <x:tableColumn id="5" name="地区"/>
    <x:tableColumn id="6" name="数量"/>
    <x:tableColumn id="7" name="単価"/>
    <x:tableColumn id="8" name="売上"/>
    <x:tableColumn id="9" name="売上区分"/>
    <x:tableColumn id="10" name="メ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4" dT="2026-08-26T02:22:23.9" personId="{DC82AF89-7000-415B-9B01-B0E0BCD01278}" id="{1C19CABD-8C39-0806-E5DB-1FF73126F57B}">
    <xltc:text>ここに =F4*G4 を入力し、H27までコピーします。</xltc:text>
  </xltc:threadedComment>
  <xltc:threadedComment ref="I4" dT="2026-08-26T02:22:23.901" personId="{DC82AF89-7000-415B-9B01-B0E0BCD01278}" id="{1F97320F-7BAD-03AE-1656-EA21CB154FE1}">
    <xltc:text>ここに売上区分のIF式を入力し、I27までコピーします。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13ce646fded4c2b" /><Relationship Type="http://schemas.openxmlformats.org/officeDocument/2006/relationships/vmlDrawing" Target="/xl/drawings/vmldrawing.vml" Id="R39d9af3cbe224449" /><Relationship Type="http://schemas.microsoft.com/office/2017/10/relationships/threadedComment" Target="/xl/threadedcomments/threadedcomment.xml" Id="Rc12de99f2a7543ed" /><Relationship Type="http://schemas.openxmlformats.org/officeDocument/2006/relationships/table" Target="/xl/tables/table1.xml" Id="Reca7ef10f5bd4f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4510214698842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4" customHeight="1">
      <x:c r="A1" s="37" t="str">
        <x:v>AI寺子屋 第2回｜ファイルとExcelをAIで加工する演習</x:v>
      </x:c>
      <x:c r="B1" s="37" t="str">
        <x:v>AI寺子屋 第2回｜ファイルとExcelをAIで加工する演習</x:v>
      </x:c>
      <x:c r="C1" s="37" t="str">
        <x:v>AI寺子屋 第2回｜ファイルとExcelをAIで加工する演習</x:v>
      </x:c>
      <x:c r="D1" s="37" t="str">
        <x:v>AI寺子屋 第2回｜ファイルとExcelをAIで加工する演習</x:v>
      </x:c>
      <x:c r="E1" s="37" t="str">
        <x:v>AI寺子屋 第2回｜ファイルとExcelをAIで加工する演習</x:v>
      </x:c>
      <x:c r="F1" s="37" t="str">
        <x:v>AI寺子屋 第2回｜ファイルとExcelをAIで加工する演習</x:v>
      </x:c>
      <x:c r="G1" s="37" t="str">
        <x:v>AI寺子屋 第2回｜ファイルとExcelをAIで加工する演習</x:v>
      </x:c>
      <x:c r="H1" s="37" t="str">
        <x:v>AI寺子屋 第2回｜ファイルとExcelをAIで加工する演習</x:v>
      </x:c>
    </x:row>
    <x:row r="2" ht="34" customHeight="1">
      <x:c r="A2" s="37" t="str">
        <x:v>AI寺子屋 第2回｜ファイルとExcelをAIで加工する演習</x:v>
      </x:c>
      <x:c r="B2" s="37" t="str">
        <x:v>AI寺子屋 第2回｜ファイルとExcelをAIで加工する演習</x:v>
      </x:c>
      <x:c r="C2" s="37" t="str">
        <x:v>AI寺子屋 第2回｜ファイルとExcelをAIで加工する演習</x:v>
      </x:c>
      <x:c r="D2" s="37" t="str">
        <x:v>AI寺子屋 第2回｜ファイルとExcelをAIで加工する演習</x:v>
      </x:c>
      <x:c r="E2" s="37" t="str">
        <x:v>AI寺子屋 第2回｜ファイルとExcelをAIで加工する演習</x:v>
      </x:c>
      <x:c r="F2" s="37" t="str">
        <x:v>AI寺子屋 第2回｜ファイルとExcelをAIで加工する演習</x:v>
      </x:c>
      <x:c r="G2" s="37" t="str">
        <x:v>AI寺子屋 第2回｜ファイルとExcelをAIで加工する演習</x:v>
      </x:c>
      <x:c r="H2" s="37" t="str">
        <x:v>AI寺子屋 第2回｜ファイルとExcelをAIで加工する演習</x:v>
      </x:c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42" customHeight="1">
      <x:c r="A4" s="39" t="str">
        <x:v>このブックは架空の物産展データです。元ファイルを複製してから、AIへセル番地を指定して編集させます。</x:v>
      </x:c>
      <x:c r="B4" s="40"/>
      <x:c r="C4" s="40"/>
      <x:c r="D4" s="40"/>
      <x:c r="E4" s="40"/>
      <x:c r="F4" s="40"/>
      <x:c r="G4" s="40"/>
      <x:c r="H4" s="41"/>
    </x:row>
    <x:row r="5">
      <x:c r="A5" s="38"/>
      <x:c r="B5" s="38"/>
      <x:c r="C5" s="38"/>
      <x:c r="D5" s="38"/>
      <x:c r="E5" s="38"/>
      <x:c r="F5" s="38"/>
      <x:c r="G5" s="38"/>
      <x:c r="H5" s="38"/>
    </x:row>
    <x:row r="6" ht="28" customHeight="1">
      <x:c r="A6" s="42" t="str">
        <x:v>段階</x:v>
      </x:c>
      <x:c r="B6" s="43" t="str">
        <x:v>やること</x:v>
      </x:c>
      <x:c r="C6" s="38"/>
      <x:c r="D6" s="38"/>
      <x:c r="E6" s="38"/>
      <x:c r="F6" s="38"/>
      <x:c r="G6" s="38"/>
      <x:c r="H6" s="38"/>
    </x:row>
    <x:row r="7">
      <x:c r="A7" s="44" t="str">
        <x:v>1</x:v>
      </x:c>
      <x:c r="B7" s="45" t="str">
        <x:v>販売記録!J4 に『練習開始』と入力する</x:v>
      </x:c>
      <x:c r="C7" s="38"/>
      <x:c r="D7" s="38"/>
      <x:c r="E7" s="38"/>
      <x:c r="F7" s="38"/>
      <x:c r="G7" s="38"/>
      <x:c r="H7" s="38"/>
    </x:row>
    <x:row r="8">
      <x:c r="A8" s="44" t="str">
        <x:v>2</x:v>
      </x:c>
      <x:c r="B8" s="46" t="str">
        <x:v>販売記録!H4 に =F4*G4 を入れ、H27までコピーする</x:v>
      </x:c>
      <x:c r="C8" s="38"/>
      <x:c r="D8" s="38"/>
      <x:c r="E8" s="38"/>
      <x:c r="F8" s="38"/>
      <x:c r="G8" s="38"/>
      <x:c r="H8" s="38"/>
    </x:row>
    <x:row r="9">
      <x:c r="A9" s="44" t="str">
        <x:v>3</x:v>
      </x:c>
      <x:c r="B9" s="46" t="str">
        <x:v>販売記録!I4 に =IF(H4&gt;=3000,"大口","通常") を入れ、I27までコピーする</x:v>
      </x:c>
      <x:c r="C9" s="38"/>
      <x:c r="D9" s="38"/>
      <x:c r="E9" s="38"/>
      <x:c r="F9" s="38"/>
      <x:c r="G9" s="38"/>
      <x:c r="H9" s="38"/>
    </x:row>
    <x:row r="10">
      <x:c r="A10" s="44" t="str">
        <x:v>4</x:v>
      </x:c>
      <x:c r="B10" s="46" t="str">
        <x:v>H列を通貨表示にし、3行目を固定する</x:v>
      </x:c>
      <x:c r="C10" s="38"/>
      <x:c r="D10" s="38"/>
      <x:c r="E10" s="38"/>
      <x:c r="F10" s="38"/>
      <x:c r="G10" s="38"/>
      <x:c r="H10" s="38"/>
    </x:row>
    <x:row r="11">
      <x:c r="A11" s="44" t="str">
        <x:v>5</x:v>
      </x:c>
      <x:c r="B11" s="46" t="str">
        <x:v>集計チャレンジ!B5:B8 と B12:B16 に集計式を作る</x:v>
      </x:c>
      <x:c r="C11" s="38"/>
      <x:c r="D11" s="38"/>
      <x:c r="E11" s="38"/>
      <x:c r="F11" s="38"/>
      <x:c r="G11" s="38"/>
      <x:c r="H11" s="38"/>
    </x:row>
    <x:row r="12">
      <x:c r="A12" s="44" t="str">
        <x:v>6</x:v>
      </x:c>
      <x:c r="B12" s="46" t="str">
        <x:v>地区別売上のグラフを作る</x:v>
      </x:c>
      <x:c r="C12" s="38"/>
      <x:c r="D12" s="38"/>
      <x:c r="E12" s="38"/>
      <x:c r="F12" s="38"/>
      <x:c r="G12" s="38"/>
      <x:c r="H12" s="38"/>
    </x:row>
    <x:row r="13">
      <x:c r="A13" s="44" t="str">
        <x:v>発展</x:v>
      </x:c>
      <x:c r="B13" s="47" t="str">
        <x:v>商品マスタと照合し、表記ゆれ・単価違いを別シートへ抽出する</x:v>
      </x:c>
      <x:c r="C13" s="38"/>
      <x:c r="D13" s="38"/>
      <x:c r="E13" s="38"/>
      <x:c r="F13" s="38"/>
      <x:c r="G13" s="38"/>
      <x:c r="H13" s="38"/>
    </x:row>
    <x:row r="14">
      <x:c r="A14" s="38"/>
      <x:c r="B14" s="38"/>
      <x:c r="C14" s="38"/>
      <x:c r="D14" s="38"/>
      <x:c r="E14" s="38"/>
      <x:c r="F14" s="38"/>
      <x:c r="G14" s="38"/>
      <x:c r="H14" s="38"/>
    </x:row>
    <x:row r="15" ht="38" customHeight="1">
      <x:c r="A15" s="48" t="str">
        <x:v>重要：AIの提案をそのまま確定せず、対象セル・数式・合計値・元データが残っているかを人が確認します。</x:v>
      </x:c>
      <x:c r="B15" s="49"/>
      <x:c r="C15" s="49"/>
      <x:c r="D15" s="49"/>
      <x:c r="E15" s="49"/>
      <x:c r="F15" s="49"/>
      <x:c r="G15" s="49"/>
      <x:c r="H15" s="50"/>
    </x:row>
    <x:row r="16">
      <x:c r="A16" s="38"/>
      <x:c r="B16" s="38"/>
      <x:c r="C16" s="38"/>
      <x:c r="D16" s="38"/>
      <x:c r="E16" s="38"/>
      <x:c r="F16" s="38"/>
      <x:c r="G16" s="38"/>
      <x:c r="H16" s="38"/>
    </x:row>
  </x:sheetData>
  <x:mergeCells>
    <x:mergeCell ref="A1:H2"/>
    <x:mergeCell ref="A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24" hidden="0" customWidth="1"/>
    <x:col min="5" max="5" width="13" hidden="0" customWidth="1"/>
    <x:col min="6" max="6" width="9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</x:cols>
  <x:sheetData>
    <x:row r="1" ht="34" customHeight="1">
      <x:c r="A1" s="3" t="str">
        <x:v>島内ミニ物産展 販売記録（演習用・架空データ）</x:v>
      </x:c>
      <x:c r="B1" s="3" t="str">
        <x:v>島内ミニ物産展 販売記録（演習用・架空データ）</x:v>
      </x:c>
      <x:c r="C1" s="3" t="str">
        <x:v>島内ミニ物産展 販売記録（演習用・架空データ）</x:v>
      </x:c>
      <x:c r="D1" s="3" t="str">
        <x:v>島内ミニ物産展 販売記録（演習用・架空データ）</x:v>
      </x:c>
      <x:c r="E1" s="3" t="str">
        <x:v>島内ミニ物産展 販売記録（演習用・架空データ）</x:v>
      </x:c>
      <x:c r="F1" s="3" t="str">
        <x:v>島内ミニ物産展 販売記録（演習用・架空データ）</x:v>
      </x:c>
      <x:c r="G1" s="3" t="str">
        <x:v>島内ミニ物産展 販売記録（演習用・架空データ）</x:v>
      </x:c>
      <x:c r="H1" s="3" t="str">
        <x:v>島内ミニ物産展 販売記録（演習用・架空データ）</x:v>
      </x:c>
      <x:c r="I1" s="3" t="str">
        <x:v>島内ミニ物産展 販売記録（演習用・架空データ）</x:v>
      </x:c>
      <x:c r="J1" s="3" t="str">
        <x:v>島内ミニ物産展 販売記録（演習用・架空データ）</x:v>
      </x:c>
    </x:row>
    <x:row r="2" ht="34" customHeight="1">
      <x:c r="A2" s="3" t="str">
        <x:v>島内ミニ物産展 販売記録（演習用・架空データ）</x:v>
      </x:c>
      <x:c r="B2" s="3" t="str">
        <x:v>島内ミニ物産展 販売記録（演習用・架空データ）</x:v>
      </x:c>
      <x:c r="C2" s="3" t="str">
        <x:v>島内ミニ物産展 販売記録（演習用・架空データ）</x:v>
      </x:c>
      <x:c r="D2" s="3" t="str">
        <x:v>島内ミニ物産展 販売記録（演習用・架空データ）</x:v>
      </x:c>
      <x:c r="E2" s="3" t="str">
        <x:v>島内ミニ物産展 販売記録（演習用・架空データ）</x:v>
      </x:c>
      <x:c r="F2" s="3" t="str">
        <x:v>島内ミニ物産展 販売記録（演習用・架空データ）</x:v>
      </x:c>
      <x:c r="G2" s="3" t="str">
        <x:v>島内ミニ物産展 販売記録（演習用・架空データ）</x:v>
      </x:c>
      <x:c r="H2" s="3" t="str">
        <x:v>島内ミニ物産展 販売記録（演習用・架空データ）</x:v>
      </x:c>
      <x:c r="I2" s="3" t="str">
        <x:v>島内ミニ物産展 販売記録（演習用・架空データ）</x:v>
      </x:c>
      <x:c r="J2" s="3" t="str">
        <x:v>島内ミニ物産展 販売記録（演習用・架空データ）</x:v>
      </x:c>
    </x:row>
    <x:row r="3" ht="28" customHeight="1">
      <x:c r="A3" s="18" t="str">
        <x:v>日付</x:v>
      </x:c>
      <x:c r="B3" s="53" t="str">
        <x:v>伝票No</x:v>
      </x:c>
      <x:c r="C3" s="53" t="str">
        <x:v>商品コード</x:v>
      </x:c>
      <x:c r="D3" s="53" t="str">
        <x:v>商品名</x:v>
      </x:c>
      <x:c r="E3" s="53" t="str">
        <x:v>地区</x:v>
      </x:c>
      <x:c r="F3" s="53" t="str">
        <x:v>数量</x:v>
      </x:c>
      <x:c r="G3" s="53" t="str">
        <x:v>単価</x:v>
      </x:c>
      <x:c r="H3" s="53" t="str">
        <x:v>売上</x:v>
      </x:c>
      <x:c r="I3" s="53" t="str">
        <x:v>売上区分</x:v>
      </x:c>
      <x:c r="J3" s="19" t="str">
        <x:v>メモ</x:v>
      </x:c>
    </x:row>
    <x:row r="4">
      <x:c r="A4" s="67" t="n">
        <x:v>46235</x:v>
      </x:c>
      <x:c r="B4" s="55" t="str">
        <x:v>S001</x:v>
      </x:c>
      <x:c r="C4" s="55" t="str">
        <x:v>P001</x:v>
      </x:c>
      <x:c r="D4" s="55" t="str">
        <x:v>トキ色ポストカード</x:v>
      </x:c>
      <x:c r="E4" s="55" t="str">
        <x:v>両津</x:v>
      </x:c>
      <x:c r="F4" s="70" t="n">
        <x:v>3</x:v>
      </x:c>
      <x:c r="G4" s="73" t="n">
        <x:v>350</x:v>
      </x:c>
      <x:c r="H4" s="76"/>
      <x:c r="I4" s="77"/>
      <x:c r="J4" s="82" t="str"/>
    </x:row>
    <x:row r="5">
      <x:c r="A5" s="68" t="n">
        <x:v>46235</x:v>
      </x:c>
      <x:c r="B5" s="58" t="str">
        <x:v>S002</x:v>
      </x:c>
      <x:c r="C5" s="58" t="str">
        <x:v>P002</x:v>
      </x:c>
      <x:c r="D5" s="58" t="str">
        <x:v>佐渡番茶</x:v>
      </x:c>
      <x:c r="E5" s="58" t="str">
        <x:v>相川</x:v>
      </x:c>
      <x:c r="F5" s="71" t="n">
        <x:v>2</x:v>
      </x:c>
      <x:c r="G5" s="74" t="n">
        <x:v>680</x:v>
      </x:c>
      <x:c r="H5" s="78"/>
      <x:c r="I5" s="79"/>
      <x:c r="J5" s="83" t="str"/>
    </x:row>
    <x:row r="6">
      <x:c r="A6" s="68" t="n">
        <x:v>46235</x:v>
      </x:c>
      <x:c r="B6" s="58" t="str">
        <x:v>S003</x:v>
      </x:c>
      <x:c r="C6" s="58" t="str">
        <x:v>P003</x:v>
      </x:c>
      <x:c r="D6" s="58" t="str">
        <x:v>島の塩クッキー</x:v>
      </x:c>
      <x:c r="E6" s="58" t="str">
        <x:v>佐和田</x:v>
      </x:c>
      <x:c r="F6" s="71" t="n">
        <x:v>4</x:v>
      </x:c>
      <x:c r="G6" s="74" t="n">
        <x:v>900</x:v>
      </x:c>
      <x:c r="H6" s="78"/>
      <x:c r="I6" s="79"/>
      <x:c r="J6" s="83" t="str"/>
    </x:row>
    <x:row r="7">
      <x:c r="A7" s="68" t="n">
        <x:v>46235</x:v>
      </x:c>
      <x:c r="B7" s="58" t="str">
        <x:v>S004</x:v>
      </x:c>
      <x:c r="C7" s="58" t="str">
        <x:v>P004</x:v>
      </x:c>
      <x:c r="D7" s="58" t="str">
        <x:v>竹製しおり</x:v>
      </x:c>
      <x:c r="E7" s="58" t="str">
        <x:v>小木</x:v>
      </x:c>
      <x:c r="F7" s="71" t="n">
        <x:v>5</x:v>
      </x:c>
      <x:c r="G7" s="74" t="n">
        <x:v>500</x:v>
      </x:c>
      <x:c r="H7" s="78"/>
      <x:c r="I7" s="79"/>
      <x:c r="J7" s="83" t="str"/>
    </x:row>
    <x:row r="8">
      <x:c r="A8" s="68" t="n">
        <x:v>46235</x:v>
      </x:c>
      <x:c r="B8" s="58" t="str">
        <x:v>S005</x:v>
      </x:c>
      <x:c r="C8" s="58" t="str">
        <x:v>P005</x:v>
      </x:c>
      <x:c r="D8" s="58" t="str">
        <x:v>柿ジャム</x:v>
      </x:c>
      <x:c r="E8" s="58" t="str">
        <x:v>両津</x:v>
      </x:c>
      <x:c r="F8" s="71" t="n">
        <x:v>2</x:v>
      </x:c>
      <x:c r="G8" s="74" t="n">
        <x:v>800</x:v>
      </x:c>
      <x:c r="H8" s="78"/>
      <x:c r="I8" s="79"/>
      <x:c r="J8" s="83" t="str"/>
    </x:row>
    <x:row r="9">
      <x:c r="A9" s="68" t="n">
        <x:v>46235</x:v>
      </x:c>
      <x:c r="B9" s="58" t="str">
        <x:v>S006</x:v>
      </x:c>
      <x:c r="C9" s="58" t="str">
        <x:v>P002</x:v>
      </x:c>
      <x:c r="D9" s="58" t="str">
        <x:v>佐渡番茶</x:v>
      </x:c>
      <x:c r="E9" s="58" t="str">
        <x:v>佐和田</x:v>
      </x:c>
      <x:c r="F9" s="71" t="n">
        <x:v>6</x:v>
      </x:c>
      <x:c r="G9" s="74" t="n">
        <x:v>680</x:v>
      </x:c>
      <x:c r="H9" s="78"/>
      <x:c r="I9" s="79"/>
      <x:c r="J9" s="83" t="str"/>
    </x:row>
    <x:row r="10">
      <x:c r="A10" s="68" t="n">
        <x:v>46235</x:v>
      </x:c>
      <x:c r="B10" s="58" t="str">
        <x:v>S007</x:v>
      </x:c>
      <x:c r="C10" s="58" t="str">
        <x:v>P001</x:v>
      </x:c>
      <x:c r="D10" s="58" t="str">
        <x:v>トキ色ポストカード</x:v>
      </x:c>
      <x:c r="E10" s="58" t="str">
        <x:v>相川</x:v>
      </x:c>
      <x:c r="F10" s="71" t="n">
        <x:v>8</x:v>
      </x:c>
      <x:c r="G10" s="74" t="n">
        <x:v>350</x:v>
      </x:c>
      <x:c r="H10" s="78"/>
      <x:c r="I10" s="79"/>
      <x:c r="J10" s="83" t="str"/>
    </x:row>
    <x:row r="11">
      <x:c r="A11" s="68" t="n">
        <x:v>46235</x:v>
      </x:c>
      <x:c r="B11" s="58" t="str">
        <x:v>S008</x:v>
      </x:c>
      <x:c r="C11" s="58" t="str">
        <x:v>P003</x:v>
      </x:c>
      <x:c r="D11" s="58" t="str">
        <x:v>島の塩クッキー</x:v>
      </x:c>
      <x:c r="E11" s="58" t="str">
        <x:v>小木</x:v>
      </x:c>
      <x:c r="F11" s="71" t="n">
        <x:v>2</x:v>
      </x:c>
      <x:c r="G11" s="74" t="n">
        <x:v>900</x:v>
      </x:c>
      <x:c r="H11" s="78"/>
      <x:c r="I11" s="79"/>
      <x:c r="J11" s="83" t="str"/>
    </x:row>
    <x:row r="12">
      <x:c r="A12" s="68" t="n">
        <x:v>46236</x:v>
      </x:c>
      <x:c r="B12" s="58" t="str">
        <x:v>S009</x:v>
      </x:c>
      <x:c r="C12" s="58" t="str">
        <x:v>P004</x:v>
      </x:c>
      <x:c r="D12" s="58" t="str">
        <x:v>竹製しおり</x:v>
      </x:c>
      <x:c r="E12" s="58" t="str">
        <x:v>両津</x:v>
      </x:c>
      <x:c r="F12" s="71" t="n">
        <x:v>7</x:v>
      </x:c>
      <x:c r="G12" s="74" t="n">
        <x:v>500</x:v>
      </x:c>
      <x:c r="H12" s="78"/>
      <x:c r="I12" s="79"/>
      <x:c r="J12" s="83" t="str"/>
    </x:row>
    <x:row r="13">
      <x:c r="A13" s="68" t="n">
        <x:v>46236</x:v>
      </x:c>
      <x:c r="B13" s="58" t="str">
        <x:v>S010</x:v>
      </x:c>
      <x:c r="C13" s="58" t="str">
        <x:v>P005</x:v>
      </x:c>
      <x:c r="D13" s="58" t="str">
        <x:v>柿ジャム</x:v>
      </x:c>
      <x:c r="E13" s="58" t="str">
        <x:v>相川</x:v>
      </x:c>
      <x:c r="F13" s="71" t="n">
        <x:v>3</x:v>
      </x:c>
      <x:c r="G13" s="74" t="n">
        <x:v>800</x:v>
      </x:c>
      <x:c r="H13" s="78"/>
      <x:c r="I13" s="79"/>
      <x:c r="J13" s="83" t="str"/>
    </x:row>
    <x:row r="14">
      <x:c r="A14" s="68" t="n">
        <x:v>46236</x:v>
      </x:c>
      <x:c r="B14" s="58" t="str">
        <x:v>S011</x:v>
      </x:c>
      <x:c r="C14" s="58" t="str">
        <x:v>P001</x:v>
      </x:c>
      <x:c r="D14" s="58" t="str">
        <x:v>トキ色ポストカード</x:v>
      </x:c>
      <x:c r="E14" s="58" t="str">
        <x:v>佐和田</x:v>
      </x:c>
      <x:c r="F14" s="71" t="n">
        <x:v>10</x:v>
      </x:c>
      <x:c r="G14" s="74" t="n">
        <x:v>350</x:v>
      </x:c>
      <x:c r="H14" s="78"/>
      <x:c r="I14" s="79"/>
      <x:c r="J14" s="83" t="str"/>
    </x:row>
    <x:row r="15">
      <x:c r="A15" s="68" t="n">
        <x:v>46236</x:v>
      </x:c>
      <x:c r="B15" s="58" t="str">
        <x:v>S012</x:v>
      </x:c>
      <x:c r="C15" s="58" t="str">
        <x:v>P002</x:v>
      </x:c>
      <x:c r="D15" s="58" t="str">
        <x:v>佐渡番茶</x:v>
      </x:c>
      <x:c r="E15" s="58" t="str">
        <x:v>小木</x:v>
      </x:c>
      <x:c r="F15" s="71" t="n">
        <x:v>4</x:v>
      </x:c>
      <x:c r="G15" s="74" t="n">
        <x:v>680</x:v>
      </x:c>
      <x:c r="H15" s="78"/>
      <x:c r="I15" s="79"/>
      <x:c r="J15" s="83" t="str"/>
    </x:row>
    <x:row r="16">
      <x:c r="A16" s="68" t="n">
        <x:v>46236</x:v>
      </x:c>
      <x:c r="B16" s="58" t="str">
        <x:v>S013</x:v>
      </x:c>
      <x:c r="C16" s="58" t="str">
        <x:v>P003</x:v>
      </x:c>
      <x:c r="D16" s="58" t="str">
        <x:v>島の塩 クッキー</x:v>
      </x:c>
      <x:c r="E16" s="58" t="str">
        <x:v>両津</x:v>
      </x:c>
      <x:c r="F16" s="71" t="n">
        <x:v>5</x:v>
      </x:c>
      <x:c r="G16" s="74" t="n">
        <x:v>900</x:v>
      </x:c>
      <x:c r="H16" s="78"/>
      <x:c r="I16" s="79"/>
      <x:c r="J16" s="83" t="str">
        <x:v>名称に空白</x:v>
      </x:c>
    </x:row>
    <x:row r="17">
      <x:c r="A17" s="68" t="n">
        <x:v>46236</x:v>
      </x:c>
      <x:c r="B17" s="58" t="str">
        <x:v>S014</x:v>
      </x:c>
      <x:c r="C17" s="58" t="str">
        <x:v>P004</x:v>
      </x:c>
      <x:c r="D17" s="58" t="str">
        <x:v>竹製しおり</x:v>
      </x:c>
      <x:c r="E17" s="58" t="str">
        <x:v>相川地区</x:v>
      </x:c>
      <x:c r="F17" s="71" t="n">
        <x:v>2</x:v>
      </x:c>
      <x:c r="G17" s="74" t="n">
        <x:v>500</x:v>
      </x:c>
      <x:c r="H17" s="78"/>
      <x:c r="I17" s="79"/>
      <x:c r="J17" s="83" t="str">
        <x:v>地区表記</x:v>
      </x:c>
    </x:row>
    <x:row r="18">
      <x:c r="A18" s="68" t="n">
        <x:v>46236</x:v>
      </x:c>
      <x:c r="B18" s="58" t="str">
        <x:v>S015</x:v>
      </x:c>
      <x:c r="C18" s="58" t="str">
        <x:v>P005</x:v>
      </x:c>
      <x:c r="D18" s="58" t="str">
        <x:v>柿ジャム</x:v>
      </x:c>
      <x:c r="E18" s="58" t="str">
        <x:v>佐和田</x:v>
      </x:c>
      <x:c r="F18" s="71" t="n">
        <x:v>4</x:v>
      </x:c>
      <x:c r="G18" s="74" t="n">
        <x:v>800</x:v>
      </x:c>
      <x:c r="H18" s="78"/>
      <x:c r="I18" s="79"/>
      <x:c r="J18" s="83" t="str"/>
    </x:row>
    <x:row r="19">
      <x:c r="A19" s="68" t="n">
        <x:v>46236</x:v>
      </x:c>
      <x:c r="B19" s="58" t="str">
        <x:v>S016</x:v>
      </x:c>
      <x:c r="C19" s="58" t="str">
        <x:v>P003</x:v>
      </x:c>
      <x:c r="D19" s="58" t="str">
        <x:v>島の塩クッキー</x:v>
      </x:c>
      <x:c r="E19" s="58" t="str">
        <x:v>小木</x:v>
      </x:c>
      <x:c r="F19" s="71" t="n">
        <x:v>3</x:v>
      </x:c>
      <x:c r="G19" s="74" t="n">
        <x:v>900</x:v>
      </x:c>
      <x:c r="H19" s="78"/>
      <x:c r="I19" s="79"/>
      <x:c r="J19" s="83" t="str"/>
    </x:row>
    <x:row r="20">
      <x:c r="A20" s="68" t="n">
        <x:v>46237</x:v>
      </x:c>
      <x:c r="B20" s="58" t="str">
        <x:v>S017</x:v>
      </x:c>
      <x:c r="C20" s="58" t="str">
        <x:v>P001</x:v>
      </x:c>
      <x:c r="D20" s="58" t="str">
        <x:v>トキ色ポストカード</x:v>
      </x:c>
      <x:c r="E20" s="58" t="str">
        <x:v>両津</x:v>
      </x:c>
      <x:c r="F20" s="71" t="n">
        <x:v>6</x:v>
      </x:c>
      <x:c r="G20" s="74" t="n">
        <x:v>350</x:v>
      </x:c>
      <x:c r="H20" s="78"/>
      <x:c r="I20" s="79"/>
      <x:c r="J20" s="83" t="str"/>
    </x:row>
    <x:row r="21">
      <x:c r="A21" s="68" t="n">
        <x:v>46237</x:v>
      </x:c>
      <x:c r="B21" s="58" t="str">
        <x:v>S018</x:v>
      </x:c>
      <x:c r="C21" s="58" t="str">
        <x:v>P002</x:v>
      </x:c>
      <x:c r="D21" s="58" t="str">
        <x:v>佐渡番茶</x:v>
      </x:c>
      <x:c r="E21" s="58" t="str">
        <x:v>相川</x:v>
      </x:c>
      <x:c r="F21" s="71" t="n">
        <x:v>5</x:v>
      </x:c>
      <x:c r="G21" s="74" t="n">
        <x:v>680</x:v>
      </x:c>
      <x:c r="H21" s="78"/>
      <x:c r="I21" s="79"/>
      <x:c r="J21" s="83" t="str"/>
    </x:row>
    <x:row r="22">
      <x:c r="A22" s="68" t="n">
        <x:v>46237</x:v>
      </x:c>
      <x:c r="B22" s="58" t="str">
        <x:v>S019</x:v>
      </x:c>
      <x:c r="C22" s="58" t="str">
        <x:v>P005</x:v>
      </x:c>
      <x:c r="D22" s="58" t="str">
        <x:v>柿ジャム</x:v>
      </x:c>
      <x:c r="E22" s="58" t="str">
        <x:v>佐和田</x:v>
      </x:c>
      <x:c r="F22" s="71" t="n">
        <x:v>2</x:v>
      </x:c>
      <x:c r="G22" s="74" t="n">
        <x:v>850</x:v>
      </x:c>
      <x:c r="H22" s="78"/>
      <x:c r="I22" s="79"/>
      <x:c r="J22" s="83" t="str">
        <x:v>単価を要確認</x:v>
      </x:c>
    </x:row>
    <x:row r="23">
      <x:c r="A23" s="68" t="n">
        <x:v>46237</x:v>
      </x:c>
      <x:c r="B23" s="58" t="str">
        <x:v>S020</x:v>
      </x:c>
      <x:c r="C23" s="58" t="str">
        <x:v>P004</x:v>
      </x:c>
      <x:c r="D23" s="58" t="str">
        <x:v>竹製しおり</x:v>
      </x:c>
      <x:c r="E23" s="58" t="str">
        <x:v>小木</x:v>
      </x:c>
      <x:c r="F23" s="71" t="n">
        <x:v>8</x:v>
      </x:c>
      <x:c r="G23" s="74" t="n">
        <x:v>500</x:v>
      </x:c>
      <x:c r="H23" s="78"/>
      <x:c r="I23" s="79"/>
      <x:c r="J23" s="83" t="str"/>
    </x:row>
    <x:row r="24">
      <x:c r="A24" s="68" t="n">
        <x:v>46237</x:v>
      </x:c>
      <x:c r="B24" s="58" t="str">
        <x:v>S021</x:v>
      </x:c>
      <x:c r="C24" s="58" t="str">
        <x:v>P003</x:v>
      </x:c>
      <x:c r="D24" s="58" t="str">
        <x:v>島の塩クッキー</x:v>
      </x:c>
      <x:c r="E24" s="58" t="str">
        <x:v>両津</x:v>
      </x:c>
      <x:c r="F24" s="71" t="n">
        <x:v>4</x:v>
      </x:c>
      <x:c r="G24" s="74" t="n">
        <x:v>900</x:v>
      </x:c>
      <x:c r="H24" s="78"/>
      <x:c r="I24" s="79"/>
      <x:c r="J24" s="83" t="str"/>
    </x:row>
    <x:row r="25">
      <x:c r="A25" s="68" t="n">
        <x:v>46237</x:v>
      </x:c>
      <x:c r="B25" s="58" t="str">
        <x:v>S022</x:v>
      </x:c>
      <x:c r="C25" s="58" t="str">
        <x:v>P001</x:v>
      </x:c>
      <x:c r="D25" s="58" t="str">
        <x:v>トキ色ポストカード</x:v>
      </x:c>
      <x:c r="E25" s="58" t="str">
        <x:v>相川</x:v>
      </x:c>
      <x:c r="F25" s="71" t="n">
        <x:v>7</x:v>
      </x:c>
      <x:c r="G25" s="74" t="n">
        <x:v>350</x:v>
      </x:c>
      <x:c r="H25" s="78"/>
      <x:c r="I25" s="79"/>
      <x:c r="J25" s="83" t="str"/>
    </x:row>
    <x:row r="26">
      <x:c r="A26" s="68" t="n">
        <x:v>46237</x:v>
      </x:c>
      <x:c r="B26" s="58" t="str">
        <x:v>S023</x:v>
      </x:c>
      <x:c r="C26" s="58" t="str">
        <x:v>P002</x:v>
      </x:c>
      <x:c r="D26" s="58" t="str">
        <x:v>佐渡番茶</x:v>
      </x:c>
      <x:c r="E26" s="58" t="str">
        <x:v>佐和田</x:v>
      </x:c>
      <x:c r="F26" s="71" t="n">
        <x:v>3</x:v>
      </x:c>
      <x:c r="G26" s="74" t="n">
        <x:v>680</x:v>
      </x:c>
      <x:c r="H26" s="78"/>
      <x:c r="I26" s="79"/>
      <x:c r="J26" s="83" t="str"/>
    </x:row>
    <x:row r="27">
      <x:c r="A27" s="69" t="n">
        <x:v>46237</x:v>
      </x:c>
      <x:c r="B27" s="61" t="str">
        <x:v>S024</x:v>
      </x:c>
      <x:c r="C27" s="61" t="str">
        <x:v>P005</x:v>
      </x:c>
      <x:c r="D27" s="61" t="str">
        <x:v>柿ジャム</x:v>
      </x:c>
      <x:c r="E27" s="61" t="str">
        <x:v>小木</x:v>
      </x:c>
      <x:c r="F27" s="72" t="n">
        <x:v>5</x:v>
      </x:c>
      <x:c r="G27" s="75" t="n">
        <x:v>800</x:v>
      </x:c>
      <x:c r="H27" s="80"/>
      <x:c r="I27" s="81"/>
      <x:c r="J27" s="84" t="str"/>
    </x:row>
  </x:sheetData>
  <x:mergeCells>
    <x:mergeCell ref="A1:J2"/>
  </x:mergeCells>
  <x:pageMargins left="0.7" right="0.7" top="0.75" bottom="0.75" header="0.3" footer="0.3"/>
  <x:legacyDrawing xmlns:r="http://schemas.openxmlformats.org/officeDocument/2006/relationships" r:id="R39d9af3cbe224449"/>
  <x:tableParts count="1">
    <x:tablePart xmlns:r="http://schemas.openxmlformats.org/officeDocument/2006/relationships" r:id="Reca7ef10f5bd4f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集計チャレンジ（黄色のセルをAIと埋める）</x:v>
      </x:c>
      <x:c r="B1" s="3" t="str">
        <x:v>集計チャレンジ（黄色のセルをAIと埋める）</x:v>
      </x:c>
      <x:c r="C1" s="3" t="str">
        <x:v>集計チャレンジ（黄色のセルをAIと埋める）</x:v>
      </x:c>
      <x:c r="D1" s="3" t="str">
        <x:v>集計チャレンジ（黄色のセルをAIと埋める）</x:v>
      </x:c>
      <x:c r="E1" s="3" t="str">
        <x:v>集計チャレンジ（黄色のセルをAIと埋める）</x:v>
      </x:c>
      <x:c r="F1" s="3" t="str">
        <x:v>集計チャレンジ（黄色のセルをAIと埋める）</x:v>
      </x:c>
      <x:c r="G1" s="3" t="str">
        <x:v>集計チャレンジ（黄色のセルをAIと埋める）</x:v>
      </x:c>
      <x:c r="H1" s="3" t="str">
        <x:v>集計チャレンジ（黄色のセルをAIと埋める）</x:v>
      </x:c>
    </x:row>
    <x:row r="2" ht="34" customHeight="1">
      <x:c r="A2" s="3" t="str">
        <x:v>集計チャレンジ（黄色のセルをAIと埋める）</x:v>
      </x:c>
      <x:c r="B2" s="3" t="str">
        <x:v>集計チャレンジ（黄色のセルをAIと埋める）</x:v>
      </x:c>
      <x:c r="C2" s="3" t="str">
        <x:v>集計チャレンジ（黄色のセルをAIと埋める）</x:v>
      </x:c>
      <x:c r="D2" s="3" t="str">
        <x:v>集計チャレンジ（黄色のセルをAIと埋める）</x:v>
      </x:c>
      <x:c r="E2" s="3" t="str">
        <x:v>集計チャレンジ（黄色のセルをAIと埋める）</x:v>
      </x:c>
      <x:c r="F2" s="3" t="str">
        <x:v>集計チャレンジ（黄色のセルをAIと埋める）</x:v>
      </x:c>
      <x:c r="G2" s="3" t="str">
        <x:v>集計チャレンジ（黄色のセルをAIと埋める）</x:v>
      </x:c>
      <x:c r="H2" s="3" t="str">
        <x:v>集計チャレンジ（黄色のセルをAIと埋める）</x:v>
      </x:c>
    </x:row>
    <x:row r="4" ht="28" customHeight="1">
      <x:c r="A4" s="18" t="str">
        <x:v>指標</x:v>
      </x:c>
      <x:c r="B4" s="19" t="str">
        <x:v>結果</x:v>
      </x:c>
      <x:c r="D4" s="89" t="str">
        <x:v>AIへの指示例</x:v>
      </x:c>
      <x:c r="E4" s="90"/>
      <x:c r="F4" s="90"/>
      <x:c r="G4" s="90"/>
      <x:c r="H4" s="91"/>
    </x:row>
    <x:row r="5">
      <x:c r="A5" t="str">
        <x:v>売上合計</x:v>
      </x:c>
      <x:c r="B5" s="85"/>
      <x:c r="D5" s="109" t="str">
        <x:v>このExcelを編集してください。『販売記録』シートのH4に =F4*G4 を入力してH27までコピーし、H列を通貨表示にしてください。次に『集計チャレンジ』シートのB5へ売上合計、B6へ平均、B7へ最大、B8へ件数を求める式を入力してください。元データは削除しないでください。作業後、変更したセル範囲と使った数式を報告してください。</x:v>
      </x:c>
      <x:c r="E5" s="110"/>
      <x:c r="F5" s="110"/>
      <x:c r="G5" s="110"/>
      <x:c r="H5" s="111"/>
    </x:row>
    <x:row r="6">
      <x:c r="A6" t="str">
        <x:v>平均売上</x:v>
      </x:c>
      <x:c r="B6" s="85"/>
      <x:c r="D6" s="112"/>
      <x:c r="E6" s="113"/>
      <x:c r="F6" s="113"/>
      <x:c r="G6" s="113"/>
      <x:c r="H6" s="114"/>
    </x:row>
    <x:row r="7">
      <x:c r="A7" t="str">
        <x:v>最大売上</x:v>
      </x:c>
      <x:c r="B7" s="85"/>
      <x:c r="D7" s="112"/>
      <x:c r="E7" s="113"/>
      <x:c r="F7" s="113"/>
      <x:c r="G7" s="113"/>
      <x:c r="H7" s="114"/>
    </x:row>
    <x:row r="8">
      <x:c r="A8" t="str">
        <x:v>伝票件数</x:v>
      </x:c>
      <x:c r="B8" s="86"/>
      <x:c r="D8" s="112"/>
      <x:c r="E8" s="113"/>
      <x:c r="F8" s="113"/>
      <x:c r="G8" s="113"/>
      <x:c r="H8" s="114"/>
    </x:row>
    <x:row r="9">
      <x:c r="D9" s="115"/>
      <x:c r="E9" s="116"/>
      <x:c r="F9" s="116"/>
      <x:c r="G9" s="116"/>
      <x:c r="H9" s="117"/>
    </x:row>
    <x:row r="11" ht="28" customHeight="1">
      <x:c r="A11" s="18" t="str">
        <x:v>地区</x:v>
      </x:c>
      <x:c r="B11" s="19" t="str">
        <x:v>売上合計</x:v>
      </x:c>
      <x:c r="D11" s="89" t="str">
        <x:v>チェックポイント</x:v>
      </x:c>
      <x:c r="E11" s="90"/>
      <x:c r="F11" s="90"/>
      <x:c r="G11" s="90"/>
      <x:c r="H11" s="91"/>
    </x:row>
    <x:row r="12">
      <x:c r="A12" t="str">
        <x:v>両津</x:v>
      </x:c>
      <x:c r="B12" s="85"/>
      <x:c r="D12" s="136" t="str">
        <x:v>□ 指定したシートとセルが合っている
□ H4:H27が数式になっている
□ 合計値が手計算・別手段と一致する
□ 元データの列が消えていない
□ 表記ゆれを勝手に確定していない</x:v>
      </x:c>
      <x:c r="E12" s="137"/>
      <x:c r="F12" s="137"/>
      <x:c r="G12" s="137"/>
      <x:c r="H12" s="138"/>
    </x:row>
    <x:row r="13">
      <x:c r="A13" t="str">
        <x:v>相川</x:v>
      </x:c>
      <x:c r="B13" s="85"/>
      <x:c r="D13" s="139"/>
      <x:c r="E13" s="140"/>
      <x:c r="F13" s="140"/>
      <x:c r="G13" s="140"/>
      <x:c r="H13" s="141"/>
    </x:row>
    <x:row r="14">
      <x:c r="A14" t="str">
        <x:v>佐和田</x:v>
      </x:c>
      <x:c r="B14" s="85"/>
      <x:c r="D14" s="139"/>
      <x:c r="E14" s="140"/>
      <x:c r="F14" s="140"/>
      <x:c r="G14" s="140"/>
      <x:c r="H14" s="141"/>
    </x:row>
    <x:row r="15">
      <x:c r="A15" t="str">
        <x:v>小木</x:v>
      </x:c>
      <x:c r="B15" s="85"/>
      <x:c r="D15" s="139"/>
      <x:c r="E15" s="140"/>
      <x:c r="F15" s="140"/>
      <x:c r="G15" s="140"/>
      <x:c r="H15" s="141"/>
    </x:row>
    <x:row r="16">
      <x:c r="A16" t="str">
        <x:v>相川地区</x:v>
      </x:c>
      <x:c r="B16" s="85"/>
      <x:c r="D16" s="142"/>
      <x:c r="E16" s="143"/>
      <x:c r="F16" s="143"/>
      <x:c r="G16" s="143"/>
      <x:c r="H16" s="144"/>
    </x:row>
  </x:sheetData>
  <x:mergeCells>
    <x:mergeCell ref="A1:H2"/>
    <x:mergeCell ref="D4:H4"/>
    <x:mergeCell ref="D5:H9"/>
    <x:mergeCell ref="D11:H11"/>
    <x:mergeCell ref="D12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14" hidden="0" customWidth="1"/>
    <x:col min="4" max="4" width="16" hidden="0" customWidth="1"/>
  </x:cols>
  <x:sheetData>
    <x:row r="1" ht="34" customHeight="1">
      <x:c r="A1" s="3" t="str">
        <x:v>商品マスタ（正しい名称・分類・単価）</x:v>
      </x:c>
      <x:c r="B1" s="3" t="str">
        <x:v>商品マスタ（正しい名称・分類・単価）</x:v>
      </x:c>
      <x:c r="C1" s="3" t="str">
        <x:v>商品マスタ（正しい名称・分類・単価）</x:v>
      </x:c>
      <x:c r="D1" s="3" t="str">
        <x:v>商品マスタ（正しい名称・分類・単価）</x:v>
      </x:c>
    </x:row>
    <x:row r="2" ht="34" customHeight="1">
      <x:c r="A2" s="3" t="str">
        <x:v>商品マスタ（正しい名称・分類・単価）</x:v>
      </x:c>
      <x:c r="B2" s="3" t="str">
        <x:v>商品マスタ（正しい名称・分類・単価）</x:v>
      </x:c>
      <x:c r="C2" s="3" t="str">
        <x:v>商品マスタ（正しい名称・分類・単価）</x:v>
      </x:c>
      <x:c r="D2" s="3" t="str">
        <x:v>商品マスタ（正しい名称・分類・単価）</x:v>
      </x:c>
    </x:row>
    <x:row r="4" ht="28" customHeight="1">
      <x:c r="A4" s="18" t="str">
        <x:v>商品コード</x:v>
      </x:c>
      <x:c r="B4" s="53" t="str">
        <x:v>商品名</x:v>
      </x:c>
      <x:c r="C4" s="53" t="str">
        <x:v>分類</x:v>
      </x:c>
      <x:c r="D4" s="19" t="str">
        <x:v>標準単価</x:v>
      </x:c>
    </x:row>
    <x:row r="5">
      <x:c r="A5" s="54" t="str">
        <x:v>P001</x:v>
      </x:c>
      <x:c r="B5" s="55" t="str">
        <x:v>トキ色ポストカード</x:v>
      </x:c>
      <x:c r="C5" s="55" t="str">
        <x:v>雑貨</x:v>
      </x:c>
      <x:c r="D5" s="63" t="n">
        <x:v>350</x:v>
      </x:c>
    </x:row>
    <x:row r="6">
      <x:c r="A6" s="57" t="str">
        <x:v>P002</x:v>
      </x:c>
      <x:c r="B6" s="58" t="str">
        <x:v>佐渡番茶</x:v>
      </x:c>
      <x:c r="C6" s="58" t="str">
        <x:v>飲料</x:v>
      </x:c>
      <x:c r="D6" s="64" t="n">
        <x:v>680</x:v>
      </x:c>
    </x:row>
    <x:row r="7">
      <x:c r="A7" s="57" t="str">
        <x:v>P003</x:v>
      </x:c>
      <x:c r="B7" s="58" t="str">
        <x:v>島の塩クッキー</x:v>
      </x:c>
      <x:c r="C7" s="58" t="str">
        <x:v>菓子</x:v>
      </x:c>
      <x:c r="D7" s="64" t="n">
        <x:v>900</x:v>
      </x:c>
    </x:row>
    <x:row r="8">
      <x:c r="A8" s="57" t="str">
        <x:v>P004</x:v>
      </x:c>
      <x:c r="B8" s="58" t="str">
        <x:v>竹製しおり</x:v>
      </x:c>
      <x:c r="C8" s="58" t="str">
        <x:v>雑貨</x:v>
      </x:c>
      <x:c r="D8" s="64" t="n">
        <x:v>500</x:v>
      </x:c>
    </x:row>
    <x:row r="9">
      <x:c r="A9" s="60" t="str">
        <x:v>P005</x:v>
      </x:c>
      <x:c r="B9" s="61" t="str">
        <x:v>柿ジャム</x:v>
      </x:c>
      <x:c r="C9" s="61" t="str">
        <x:v>食品</x:v>
      </x:c>
      <x:c r="D9" s="65" t="n">
        <x:v>800</x:v>
      </x:c>
    </x:row>
    <x:row r="11">
      <x:c r="A11" s="66" t="str">
        <x:v>販売記録には、練習用として名称・地区・単価の不整合が3か所あります。元データを直接消さず、コピーした列または別シートで修正案を作りましょう。</x:v>
      </x:c>
      <x:c r="B11" s="66"/>
      <x:c r="C11" s="66"/>
      <x:c r="D11" s="66"/>
    </x:row>
    <x:row r="12">
      <x:c r="A12" s="66"/>
      <x:c r="B12" s="66"/>
      <x:c r="C12" s="66"/>
      <x:c r="D12" s="66"/>
    </x:row>
  </x:sheetData>
  <x:mergeCells>
    <x:mergeCell ref="A1:D2"/>
    <x:mergeCell ref="A11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" hidden="0" customWidth="1"/>
    <x:col min="4" max="4" width="12" hidden="0" customWidth="1"/>
    <x:col min="5" max="5" width="13" hidden="0" customWidth="1"/>
    <x:col min="6" max="6" width="14" hidden="0" customWidth="1"/>
    <x:col min="7" max="7" width="9" hidden="0" customWidth="1"/>
    <x:col min="8" max="8" width="15" hidden="0" customWidth="1"/>
    <x:col min="9" max="9" width="14" hidden="0" customWidth="1"/>
    <x:col min="10" max="10" width="12" hidden="0" customWidth="1"/>
  </x:cols>
  <x:sheetData>
    <x:row r="1" ht="34" customHeight="1">
      <x:c r="A1" s="3" t="str">
        <x:v>答え合わせ（困ったとき・最後の確認用）</x:v>
      </x:c>
      <x:c r="B1" s="3" t="str">
        <x:v>答え合わせ（困ったとき・最後の確認用）</x:v>
      </x:c>
      <x:c r="C1" s="3" t="str">
        <x:v>答え合わせ（困ったとき・最後の確認用）</x:v>
      </x:c>
      <x:c r="D1" s="3" t="str">
        <x:v>答え合わせ（困ったとき・最後の確認用）</x:v>
      </x:c>
      <x:c r="E1" s="3" t="str">
        <x:v>答え合わせ（困ったとき・最後の確認用）</x:v>
      </x:c>
      <x:c r="F1" s="3" t="str">
        <x:v>答え合わせ（困ったとき・最後の確認用）</x:v>
      </x:c>
      <x:c r="G1" s="3" t="str">
        <x:v>答え合わせ（困ったとき・最後の確認用）</x:v>
      </x:c>
      <x:c r="H1" s="3" t="str">
        <x:v>答え合わせ（困ったとき・最後の確認用）</x:v>
      </x:c>
      <x:c r="I1" s="3" t="str">
        <x:v>答え合わせ（困ったとき・最後の確認用）</x:v>
      </x:c>
      <x:c r="J1" s="3" t="str">
        <x:v>答え合わせ（困ったとき・最後の確認用）</x:v>
      </x:c>
    </x:row>
    <x:row r="2" ht="34" customHeight="1">
      <x:c r="A2" s="3" t="str">
        <x:v>答え合わせ（困ったとき・最後の確認用）</x:v>
      </x:c>
      <x:c r="B2" s="3" t="str">
        <x:v>答え合わせ（困ったとき・最後の確認用）</x:v>
      </x:c>
      <x:c r="C2" s="3" t="str">
        <x:v>答え合わせ（困ったとき・最後の確認用）</x:v>
      </x:c>
      <x:c r="D2" s="3" t="str">
        <x:v>答え合わせ（困ったとき・最後の確認用）</x:v>
      </x:c>
      <x:c r="E2" s="3" t="str">
        <x:v>答え合わせ（困ったとき・最後の確認用）</x:v>
      </x:c>
      <x:c r="F2" s="3" t="str">
        <x:v>答え合わせ（困ったとき・最後の確認用）</x:v>
      </x:c>
      <x:c r="G2" s="3" t="str">
        <x:v>答え合わせ（困ったとき・最後の確認用）</x:v>
      </x:c>
      <x:c r="H2" s="3" t="str">
        <x:v>答え合わせ（困ったとき・最後の確認用）</x:v>
      </x:c>
      <x:c r="I2" s="3" t="str">
        <x:v>答え合わせ（困ったとき・最後の確認用）</x:v>
      </x:c>
      <x:c r="J2" s="3" t="str">
        <x:v>答え合わせ（困ったとき・最後の確認用）</x:v>
      </x:c>
    </x:row>
    <x:row r="3" ht="28" customHeight="1">
      <x:c r="D3" s="18" t="str">
        <x:v>伝票No</x:v>
      </x:c>
      <x:c r="E3" s="53" t="str">
        <x:v>商品コード</x:v>
      </x:c>
      <x:c r="F3" s="53" t="str">
        <x:v>マスタ単価</x:v>
      </x:c>
      <x:c r="G3" s="53" t="str">
        <x:v>数量</x:v>
      </x:c>
      <x:c r="H3" s="53" t="str">
        <x:v>修正後売上</x:v>
      </x:c>
      <x:c r="I3" s="53" t="str">
        <x:v>正規化地区</x:v>
      </x:c>
      <x:c r="J3" s="19" t="str">
        <x:v>確認</x:v>
      </x:c>
    </x:row>
    <x:row r="4" ht="28" customHeight="1">
      <x:c r="A4" s="18" t="str">
        <x:v>指標</x:v>
      </x:c>
      <x:c r="B4" s="19" t="str">
        <x:v>マスタ単価での結果</x:v>
      </x:c>
      <x:c r="D4" s="54" t="str">
        <x:f>'販売記録'!B4</x:f>
        <x:v>S001</x:v>
      </x:c>
      <x:c r="E4" s="55" t="str">
        <x:f>'販売記録'!C4</x:f>
        <x:v>P001</x:v>
      </x:c>
      <x:c r="F4" s="73" t="n">
        <x:f>VLOOKUP(E4,'商品マスタ'!$A$5:$D$9,4,FALSE)</x:f>
        <x:v>350</x:v>
      </x:c>
      <x:c r="G4" s="55" t="n">
        <x:f>'販売記録'!F4</x:f>
        <x:v>3</x:v>
      </x:c>
      <x:c r="H4" s="73" t="n">
        <x:f>F4*G4</x:f>
        <x:v>1050</x:v>
      </x:c>
      <x:c r="I4" s="55" t="str">
        <x:f>IF('販売記録'!E4="相川地区","相川",'販売記録'!E4)</x:f>
        <x:v>両津</x:v>
      </x:c>
      <x:c r="J4" s="56" t="str">
        <x:f>IF(OR('販売記録'!D4&lt;&gt;VLOOKUP(E4,'商品マスタ'!$A$5:$D$9,2,FALSE),'販売記録'!G4&lt;&gt;F4,'販売記録'!E4&lt;&gt;I4),"要確認","OK")</x:f>
        <x:v>OK</x:v>
      </x:c>
    </x:row>
    <x:row r="5">
      <x:c r="A5" t="str">
        <x:v>売上合計</x:v>
      </x:c>
      <x:c r="B5" s="145" t="n">
        <x:f>SUM(H4:H27)</x:f>
        <x:v>65500</x:v>
      </x:c>
      <x:c r="D5" s="57" t="str">
        <x:f>'販売記録'!B5</x:f>
        <x:v>S002</x:v>
      </x:c>
      <x:c r="E5" s="58" t="str">
        <x:f>'販売記録'!C5</x:f>
        <x:v>P002</x:v>
      </x:c>
      <x:c r="F5" s="74" t="n">
        <x:f>VLOOKUP(E5,'商品マスタ'!$A$5:$D$9,4,FALSE)</x:f>
        <x:v>680</x:v>
      </x:c>
      <x:c r="G5" s="58" t="n">
        <x:f>'販売記録'!F5</x:f>
        <x:v>2</x:v>
      </x:c>
      <x:c r="H5" s="74" t="n">
        <x:f>F5*G5</x:f>
        <x:v>1360</x:v>
      </x:c>
      <x:c r="I5" s="58" t="str">
        <x:f>IF('販売記録'!E5="相川地区","相川",'販売記録'!E5)</x:f>
        <x:v>相川</x:v>
      </x:c>
      <x:c r="J5" s="59" t="str">
        <x:f>IF(OR('販売記録'!D5&lt;&gt;VLOOKUP(E5,'商品マスタ'!$A$5:$D$9,2,FALSE),'販売記録'!G5&lt;&gt;F5,'販売記録'!E5&lt;&gt;I5),"要確認","OK")</x:f>
        <x:v>OK</x:v>
      </x:c>
    </x:row>
    <x:row r="6">
      <x:c r="A6" t="str">
        <x:v>平均売上</x:v>
      </x:c>
      <x:c r="B6" s="145" t="n">
        <x:f>ROUND(AVERAGE(H4:H27),0)</x:f>
        <x:v>2729</x:v>
      </x:c>
      <x:c r="D6" s="57" t="str">
        <x:f>'販売記録'!B6</x:f>
        <x:v>S003</x:v>
      </x:c>
      <x:c r="E6" s="58" t="str">
        <x:f>'販売記録'!C6</x:f>
        <x:v>P003</x:v>
      </x:c>
      <x:c r="F6" s="74" t="n">
        <x:f>VLOOKUP(E6,'商品マスタ'!$A$5:$D$9,4,FALSE)</x:f>
        <x:v>900</x:v>
      </x:c>
      <x:c r="G6" s="58" t="n">
        <x:f>'販売記録'!F6</x:f>
        <x:v>4</x:v>
      </x:c>
      <x:c r="H6" s="74" t="n">
        <x:f>F6*G6</x:f>
        <x:v>3600</x:v>
      </x:c>
      <x:c r="I6" s="58" t="str">
        <x:f>IF('販売記録'!E6="相川地区","相川",'販売記録'!E6)</x:f>
        <x:v>佐和田</x:v>
      </x:c>
      <x:c r="J6" s="59" t="str">
        <x:f>IF(OR('販売記録'!D6&lt;&gt;VLOOKUP(E6,'商品マスタ'!$A$5:$D$9,2,FALSE),'販売記録'!G6&lt;&gt;F6,'販売記録'!E6&lt;&gt;I6),"要確認","OK")</x:f>
        <x:v>OK</x:v>
      </x:c>
    </x:row>
    <x:row r="7">
      <x:c r="A7" t="str">
        <x:v>最大売上</x:v>
      </x:c>
      <x:c r="B7" s="145" t="n">
        <x:f>MAX(H4:H27)</x:f>
        <x:v>4500</x:v>
      </x:c>
      <x:c r="D7" s="57" t="str">
        <x:f>'販売記録'!B7</x:f>
        <x:v>S004</x:v>
      </x:c>
      <x:c r="E7" s="58" t="str">
        <x:f>'販売記録'!C7</x:f>
        <x:v>P004</x:v>
      </x:c>
      <x:c r="F7" s="74" t="n">
        <x:f>VLOOKUP(E7,'商品マスタ'!$A$5:$D$9,4,FALSE)</x:f>
        <x:v>500</x:v>
      </x:c>
      <x:c r="G7" s="58" t="n">
        <x:f>'販売記録'!F7</x:f>
        <x:v>5</x:v>
      </x:c>
      <x:c r="H7" s="74" t="n">
        <x:f>F7*G7</x:f>
        <x:v>2500</x:v>
      </x:c>
      <x:c r="I7" s="58" t="str">
        <x:f>IF('販売記録'!E7="相川地区","相川",'販売記録'!E7)</x:f>
        <x:v>小木</x:v>
      </x:c>
      <x:c r="J7" s="59" t="str">
        <x:f>IF(OR('販売記録'!D7&lt;&gt;VLOOKUP(E7,'商品マスタ'!$A$5:$D$9,2,FALSE),'販売記録'!G7&lt;&gt;F7,'販売記録'!E7&lt;&gt;I7),"要確認","OK")</x:f>
        <x:v>OK</x:v>
      </x:c>
    </x:row>
    <x:row r="8">
      <x:c r="A8" t="str">
        <x:v>伝票件数</x:v>
      </x:c>
      <x:c r="B8" s="146" t="n">
        <x:f>COUNT(H4:H27)</x:f>
        <x:v>24</x:v>
      </x:c>
      <x:c r="D8" s="57" t="str">
        <x:f>'販売記録'!B8</x:f>
        <x:v>S005</x:v>
      </x:c>
      <x:c r="E8" s="58" t="str">
        <x:f>'販売記録'!C8</x:f>
        <x:v>P005</x:v>
      </x:c>
      <x:c r="F8" s="74" t="n">
        <x:f>VLOOKUP(E8,'商品マスタ'!$A$5:$D$9,4,FALSE)</x:f>
        <x:v>800</x:v>
      </x:c>
      <x:c r="G8" s="58" t="n">
        <x:f>'販売記録'!F8</x:f>
        <x:v>2</x:v>
      </x:c>
      <x:c r="H8" s="74" t="n">
        <x:f>F8*G8</x:f>
        <x:v>1600</x:v>
      </x:c>
      <x:c r="I8" s="58" t="str">
        <x:f>IF('販売記録'!E8="相川地区","相川",'販売記録'!E8)</x:f>
        <x:v>両津</x:v>
      </x:c>
      <x:c r="J8" s="59" t="str">
        <x:f>IF(OR('販売記録'!D8&lt;&gt;VLOOKUP(E8,'商品マスタ'!$A$5:$D$9,2,FALSE),'販売記録'!G8&lt;&gt;F8,'販売記録'!E8&lt;&gt;I8),"要確認","OK")</x:f>
        <x:v>OK</x:v>
      </x:c>
    </x:row>
    <x:row r="9">
      <x:c r="D9" s="57" t="str">
        <x:f>'販売記録'!B9</x:f>
        <x:v>S006</x:v>
      </x:c>
      <x:c r="E9" s="58" t="str">
        <x:f>'販売記録'!C9</x:f>
        <x:v>P002</x:v>
      </x:c>
      <x:c r="F9" s="74" t="n">
        <x:f>VLOOKUP(E9,'商品マスタ'!$A$5:$D$9,4,FALSE)</x:f>
        <x:v>680</x:v>
      </x:c>
      <x:c r="G9" s="58" t="n">
        <x:f>'販売記録'!F9</x:f>
        <x:v>6</x:v>
      </x:c>
      <x:c r="H9" s="74" t="n">
        <x:f>F9*G9</x:f>
        <x:v>4080</x:v>
      </x:c>
      <x:c r="I9" s="58" t="str">
        <x:f>IF('販売記録'!E9="相川地区","相川",'販売記録'!E9)</x:f>
        <x:v>佐和田</x:v>
      </x:c>
      <x:c r="J9" s="59" t="str">
        <x:f>IF(OR('販売記録'!D9&lt;&gt;VLOOKUP(E9,'商品マスタ'!$A$5:$D$9,2,FALSE),'販売記録'!G9&lt;&gt;F9,'販売記録'!E9&lt;&gt;I9),"要確認","OK")</x:f>
        <x:v>OK</x:v>
      </x:c>
    </x:row>
    <x:row r="10">
      <x:c r="D10" s="57" t="str">
        <x:f>'販売記録'!B10</x:f>
        <x:v>S007</x:v>
      </x:c>
      <x:c r="E10" s="58" t="str">
        <x:f>'販売記録'!C10</x:f>
        <x:v>P001</x:v>
      </x:c>
      <x:c r="F10" s="74" t="n">
        <x:f>VLOOKUP(E10,'商品マスタ'!$A$5:$D$9,4,FALSE)</x:f>
        <x:v>350</x:v>
      </x:c>
      <x:c r="G10" s="58" t="n">
        <x:f>'販売記録'!F10</x:f>
        <x:v>8</x:v>
      </x:c>
      <x:c r="H10" s="74" t="n">
        <x:f>F10*G10</x:f>
        <x:v>2800</x:v>
      </x:c>
      <x:c r="I10" s="58" t="str">
        <x:f>IF('販売記録'!E10="相川地区","相川",'販売記録'!E10)</x:f>
        <x:v>相川</x:v>
      </x:c>
      <x:c r="J10" s="59" t="str">
        <x:f>IF(OR('販売記録'!D10&lt;&gt;VLOOKUP(E10,'商品マスタ'!$A$5:$D$9,2,FALSE),'販売記録'!G10&lt;&gt;F10,'販売記録'!E10&lt;&gt;I10),"要確認","OK")</x:f>
        <x:v>OK</x:v>
      </x:c>
    </x:row>
    <x:row r="11" ht="28" customHeight="1">
      <x:c r="A11" s="18" t="str">
        <x:v>地区（正規化後）</x:v>
      </x:c>
      <x:c r="B11" s="19" t="str">
        <x:v>売上合計</x:v>
      </x:c>
      <x:c r="D11" s="57" t="str">
        <x:f>'販売記録'!B11</x:f>
        <x:v>S008</x:v>
      </x:c>
      <x:c r="E11" s="58" t="str">
        <x:f>'販売記録'!C11</x:f>
        <x:v>P003</x:v>
      </x:c>
      <x:c r="F11" s="74" t="n">
        <x:f>VLOOKUP(E11,'商品マスタ'!$A$5:$D$9,4,FALSE)</x:f>
        <x:v>900</x:v>
      </x:c>
      <x:c r="G11" s="58" t="n">
        <x:f>'販売記録'!F11</x:f>
        <x:v>2</x:v>
      </x:c>
      <x:c r="H11" s="74" t="n">
        <x:f>F11*G11</x:f>
        <x:v>1800</x:v>
      </x:c>
      <x:c r="I11" s="58" t="str">
        <x:f>IF('販売記録'!E11="相川地区","相川",'販売記録'!E11)</x:f>
        <x:v>小木</x:v>
      </x:c>
      <x:c r="J11" s="59" t="str">
        <x:f>IF(OR('販売記録'!D11&lt;&gt;VLOOKUP(E11,'商品マスタ'!$A$5:$D$9,2,FALSE),'販売記録'!G11&lt;&gt;F11,'販売記録'!E11&lt;&gt;I11),"要確認","OK")</x:f>
        <x:v>OK</x:v>
      </x:c>
    </x:row>
    <x:row r="12">
      <x:c r="A12" t="str">
        <x:v>両津</x:v>
      </x:c>
      <x:c r="B12" s="145" t="n">
        <x:f>SUMIF($I$4:$I$27,A12,$H$4:$H$27)</x:f>
        <x:v>16350</x:v>
      </x:c>
      <x:c r="D12" s="57" t="str">
        <x:f>'販売記録'!B12</x:f>
        <x:v>S009</x:v>
      </x:c>
      <x:c r="E12" s="58" t="str">
        <x:f>'販売記録'!C12</x:f>
        <x:v>P004</x:v>
      </x:c>
      <x:c r="F12" s="74" t="n">
        <x:f>VLOOKUP(E12,'商品マスタ'!$A$5:$D$9,4,FALSE)</x:f>
        <x:v>500</x:v>
      </x:c>
      <x:c r="G12" s="58" t="n">
        <x:f>'販売記録'!F12</x:f>
        <x:v>7</x:v>
      </x:c>
      <x:c r="H12" s="74" t="n">
        <x:f>F12*G12</x:f>
        <x:v>3500</x:v>
      </x:c>
      <x:c r="I12" s="58" t="str">
        <x:f>IF('販売記録'!E12="相川地区","相川",'販売記録'!E12)</x:f>
        <x:v>両津</x:v>
      </x:c>
      <x:c r="J12" s="59" t="str">
        <x:f>IF(OR('販売記録'!D12&lt;&gt;VLOOKUP(E12,'商品マスタ'!$A$5:$D$9,2,FALSE),'販売記録'!G12&lt;&gt;F12,'販売記録'!E12&lt;&gt;I12),"要確認","OK")</x:f>
        <x:v>OK</x:v>
      </x:c>
    </x:row>
    <x:row r="13">
      <x:c r="A13" t="str">
        <x:v>相川</x:v>
      </x:c>
      <x:c r="B13" s="145" t="n">
        <x:f>SUMIF($I$4:$I$27,A13,$H$4:$H$27)</x:f>
        <x:v>13410</x:v>
      </x:c>
      <x:c r="D13" s="57" t="str">
        <x:f>'販売記録'!B13</x:f>
        <x:v>S010</x:v>
      </x:c>
      <x:c r="E13" s="58" t="str">
        <x:f>'販売記録'!C13</x:f>
        <x:v>P005</x:v>
      </x:c>
      <x:c r="F13" s="74" t="n">
        <x:f>VLOOKUP(E13,'商品マスタ'!$A$5:$D$9,4,FALSE)</x:f>
        <x:v>800</x:v>
      </x:c>
      <x:c r="G13" s="58" t="n">
        <x:f>'販売記録'!F13</x:f>
        <x:v>3</x:v>
      </x:c>
      <x:c r="H13" s="74" t="n">
        <x:f>F13*G13</x:f>
        <x:v>2400</x:v>
      </x:c>
      <x:c r="I13" s="58" t="str">
        <x:f>IF('販売記録'!E13="相川地区","相川",'販売記録'!E13)</x:f>
        <x:v>相川</x:v>
      </x:c>
      <x:c r="J13" s="59" t="str">
        <x:f>IF(OR('販売記録'!D13&lt;&gt;VLOOKUP(E13,'商品マスタ'!$A$5:$D$9,2,FALSE),'販売記録'!G13&lt;&gt;F13,'販売記録'!E13&lt;&gt;I13),"要確認","OK")</x:f>
        <x:v>OK</x:v>
      </x:c>
    </x:row>
    <x:row r="14">
      <x:c r="A14" t="str">
        <x:v>佐和田</x:v>
      </x:c>
      <x:c r="B14" s="145" t="n">
        <x:f>SUMIF($I$4:$I$27,A14,$H$4:$H$27)</x:f>
        <x:v>18020</x:v>
      </x:c>
      <x:c r="D14" s="57" t="str">
        <x:f>'販売記録'!B14</x:f>
        <x:v>S011</x:v>
      </x:c>
      <x:c r="E14" s="58" t="str">
        <x:f>'販売記録'!C14</x:f>
        <x:v>P001</x:v>
      </x:c>
      <x:c r="F14" s="74" t="n">
        <x:f>VLOOKUP(E14,'商品マスタ'!$A$5:$D$9,4,FALSE)</x:f>
        <x:v>350</x:v>
      </x:c>
      <x:c r="G14" s="58" t="n">
        <x:f>'販売記録'!F14</x:f>
        <x:v>10</x:v>
      </x:c>
      <x:c r="H14" s="74" t="n">
        <x:f>F14*G14</x:f>
        <x:v>3500</x:v>
      </x:c>
      <x:c r="I14" s="58" t="str">
        <x:f>IF('販売記録'!E14="相川地区","相川",'販売記録'!E14)</x:f>
        <x:v>佐和田</x:v>
      </x:c>
      <x:c r="J14" s="59" t="str">
        <x:f>IF(OR('販売記録'!D14&lt;&gt;VLOOKUP(E14,'商品マスタ'!$A$5:$D$9,2,FALSE),'販売記録'!G14&lt;&gt;F14,'販売記録'!E14&lt;&gt;I14),"要確認","OK")</x:f>
        <x:v>OK</x:v>
      </x:c>
    </x:row>
    <x:row r="15">
      <x:c r="A15" t="str">
        <x:v>小木</x:v>
      </x:c>
      <x:c r="B15" s="145" t="n">
        <x:f>SUMIF($I$4:$I$27,A15,$H$4:$H$27)</x:f>
        <x:v>17720</x:v>
      </x:c>
      <x:c r="D15" s="57" t="str">
        <x:f>'販売記録'!B15</x:f>
        <x:v>S012</x:v>
      </x:c>
      <x:c r="E15" s="58" t="str">
        <x:f>'販売記録'!C15</x:f>
        <x:v>P002</x:v>
      </x:c>
      <x:c r="F15" s="74" t="n">
        <x:f>VLOOKUP(E15,'商品マスタ'!$A$5:$D$9,4,FALSE)</x:f>
        <x:v>680</x:v>
      </x:c>
      <x:c r="G15" s="58" t="n">
        <x:f>'販売記録'!F15</x:f>
        <x:v>4</x:v>
      </x:c>
      <x:c r="H15" s="74" t="n">
        <x:f>F15*G15</x:f>
        <x:v>2720</x:v>
      </x:c>
      <x:c r="I15" s="58" t="str">
        <x:f>IF('販売記録'!E15="相川地区","相川",'販売記録'!E15)</x:f>
        <x:v>小木</x:v>
      </x:c>
      <x:c r="J15" s="59" t="str">
        <x:f>IF(OR('販売記録'!D15&lt;&gt;VLOOKUP(E15,'商品マスタ'!$A$5:$D$9,2,FALSE),'販売記録'!G15&lt;&gt;F15,'販売記録'!E15&lt;&gt;I15),"要確認","OK")</x:f>
        <x:v>OK</x:v>
      </x:c>
    </x:row>
    <x:row r="16">
      <x:c r="D16" s="57" t="str">
        <x:f>'販売記録'!B16</x:f>
        <x:v>S013</x:v>
      </x:c>
      <x:c r="E16" s="58" t="str">
        <x:f>'販売記録'!C16</x:f>
        <x:v>P003</x:v>
      </x:c>
      <x:c r="F16" s="74" t="n">
        <x:f>VLOOKUP(E16,'商品マスタ'!$A$5:$D$9,4,FALSE)</x:f>
        <x:v>900</x:v>
      </x:c>
      <x:c r="G16" s="58" t="n">
        <x:f>'販売記録'!F16</x:f>
        <x:v>5</x:v>
      </x:c>
      <x:c r="H16" s="74" t="n">
        <x:f>F16*G16</x:f>
        <x:v>4500</x:v>
      </x:c>
      <x:c r="I16" s="58" t="str">
        <x:f>IF('販売記録'!E16="相川地区","相川",'販売記録'!E16)</x:f>
        <x:v>両津</x:v>
      </x:c>
      <x:c r="J16" s="59" t="str">
        <x:f>IF(OR('販売記録'!D16&lt;&gt;VLOOKUP(E16,'商品マスタ'!$A$5:$D$9,2,FALSE),'販売記録'!G16&lt;&gt;F16,'販売記録'!E16&lt;&gt;I16),"要確認","OK")</x:f>
        <x:v>要確認</x:v>
      </x:c>
    </x:row>
    <x:row r="17">
      <x:c r="D17" s="57" t="str">
        <x:f>'販売記録'!B17</x:f>
        <x:v>S014</x:v>
      </x:c>
      <x:c r="E17" s="58" t="str">
        <x:f>'販売記録'!C17</x:f>
        <x:v>P004</x:v>
      </x:c>
      <x:c r="F17" s="74" t="n">
        <x:f>VLOOKUP(E17,'商品マスタ'!$A$5:$D$9,4,FALSE)</x:f>
        <x:v>500</x:v>
      </x:c>
      <x:c r="G17" s="58" t="n">
        <x:f>'販売記録'!F17</x:f>
        <x:v>2</x:v>
      </x:c>
      <x:c r="H17" s="74" t="n">
        <x:f>F17*G17</x:f>
        <x:v>1000</x:v>
      </x:c>
      <x:c r="I17" s="58" t="str">
        <x:f>IF('販売記録'!E17="相川地区","相川",'販売記録'!E17)</x:f>
        <x:v>相川</x:v>
      </x:c>
      <x:c r="J17" s="59" t="str">
        <x:f>IF(OR('販売記録'!D17&lt;&gt;VLOOKUP(E17,'商品マスタ'!$A$5:$D$9,2,FALSE),'販売記録'!G17&lt;&gt;F17,'販売記録'!E17&lt;&gt;I17),"要確認","OK")</x:f>
        <x:v>要確認</x:v>
      </x:c>
    </x:row>
    <x:row r="18">
      <x:c r="D18" s="57" t="str">
        <x:f>'販売記録'!B18</x:f>
        <x:v>S015</x:v>
      </x:c>
      <x:c r="E18" s="58" t="str">
        <x:f>'販売記録'!C18</x:f>
        <x:v>P005</x:v>
      </x:c>
      <x:c r="F18" s="74" t="n">
        <x:f>VLOOKUP(E18,'商品マスタ'!$A$5:$D$9,4,FALSE)</x:f>
        <x:v>800</x:v>
      </x:c>
      <x:c r="G18" s="58" t="n">
        <x:f>'販売記録'!F18</x:f>
        <x:v>4</x:v>
      </x:c>
      <x:c r="H18" s="74" t="n">
        <x:f>F18*G18</x:f>
        <x:v>3200</x:v>
      </x:c>
      <x:c r="I18" s="58" t="str">
        <x:f>IF('販売記録'!E18="相川地区","相川",'販売記録'!E18)</x:f>
        <x:v>佐和田</x:v>
      </x:c>
      <x:c r="J18" s="59" t="str">
        <x:f>IF(OR('販売記録'!D18&lt;&gt;VLOOKUP(E18,'商品マスタ'!$A$5:$D$9,2,FALSE),'販売記録'!G18&lt;&gt;F18,'販売記録'!E18&lt;&gt;I18),"要確認","OK")</x:f>
        <x:v>OK</x:v>
      </x:c>
    </x:row>
    <x:row r="19">
      <x:c r="D19" s="57" t="str">
        <x:f>'販売記録'!B19</x:f>
        <x:v>S016</x:v>
      </x:c>
      <x:c r="E19" s="58" t="str">
        <x:f>'販売記録'!C19</x:f>
        <x:v>P003</x:v>
      </x:c>
      <x:c r="F19" s="74" t="n">
        <x:f>VLOOKUP(E19,'商品マスタ'!$A$5:$D$9,4,FALSE)</x:f>
        <x:v>900</x:v>
      </x:c>
      <x:c r="G19" s="58" t="n">
        <x:f>'販売記録'!F19</x:f>
        <x:v>3</x:v>
      </x:c>
      <x:c r="H19" s="74" t="n">
        <x:f>F19*G19</x:f>
        <x:v>2700</x:v>
      </x:c>
      <x:c r="I19" s="58" t="str">
        <x:f>IF('販売記録'!E19="相川地区","相川",'販売記録'!E19)</x:f>
        <x:v>小木</x:v>
      </x:c>
      <x:c r="J19" s="59" t="str">
        <x:f>IF(OR('販売記録'!D19&lt;&gt;VLOOKUP(E19,'商品マスタ'!$A$5:$D$9,2,FALSE),'販売記録'!G19&lt;&gt;F19,'販売記録'!E19&lt;&gt;I19),"要確認","OK")</x:f>
        <x:v>OK</x:v>
      </x:c>
    </x:row>
    <x:row r="20">
      <x:c r="D20" s="57" t="str">
        <x:f>'販売記録'!B20</x:f>
        <x:v>S017</x:v>
      </x:c>
      <x:c r="E20" s="58" t="str">
        <x:f>'販売記録'!C20</x:f>
        <x:v>P001</x:v>
      </x:c>
      <x:c r="F20" s="74" t="n">
        <x:f>VLOOKUP(E20,'商品マスタ'!$A$5:$D$9,4,FALSE)</x:f>
        <x:v>350</x:v>
      </x:c>
      <x:c r="G20" s="58" t="n">
        <x:f>'販売記録'!F20</x:f>
        <x:v>6</x:v>
      </x:c>
      <x:c r="H20" s="74" t="n">
        <x:f>F20*G20</x:f>
        <x:v>2100</x:v>
      </x:c>
      <x:c r="I20" s="58" t="str">
        <x:f>IF('販売記録'!E20="相川地区","相川",'販売記録'!E20)</x:f>
        <x:v>両津</x:v>
      </x:c>
      <x:c r="J20" s="59" t="str">
        <x:f>IF(OR('販売記録'!D20&lt;&gt;VLOOKUP(E20,'商品マスタ'!$A$5:$D$9,2,FALSE),'販売記録'!G20&lt;&gt;F20,'販売記録'!E20&lt;&gt;I20),"要確認","OK")</x:f>
        <x:v>OK</x:v>
      </x:c>
    </x:row>
    <x:row r="21">
      <x:c r="D21" s="57" t="str">
        <x:f>'販売記録'!B21</x:f>
        <x:v>S018</x:v>
      </x:c>
      <x:c r="E21" s="58" t="str">
        <x:f>'販売記録'!C21</x:f>
        <x:v>P002</x:v>
      </x:c>
      <x:c r="F21" s="74" t="n">
        <x:f>VLOOKUP(E21,'商品マスタ'!$A$5:$D$9,4,FALSE)</x:f>
        <x:v>680</x:v>
      </x:c>
      <x:c r="G21" s="58" t="n">
        <x:f>'販売記録'!F21</x:f>
        <x:v>5</x:v>
      </x:c>
      <x:c r="H21" s="74" t="n">
        <x:f>F21*G21</x:f>
        <x:v>3400</x:v>
      </x:c>
      <x:c r="I21" s="58" t="str">
        <x:f>IF('販売記録'!E21="相川地区","相川",'販売記録'!E21)</x:f>
        <x:v>相川</x:v>
      </x:c>
      <x:c r="J21" s="59" t="str">
        <x:f>IF(OR('販売記録'!D21&lt;&gt;VLOOKUP(E21,'商品マスタ'!$A$5:$D$9,2,FALSE),'販売記録'!G21&lt;&gt;F21,'販売記録'!E21&lt;&gt;I21),"要確認","OK")</x:f>
        <x:v>OK</x:v>
      </x:c>
    </x:row>
    <x:row r="22">
      <x:c r="D22" s="57" t="str">
        <x:f>'販売記録'!B22</x:f>
        <x:v>S019</x:v>
      </x:c>
      <x:c r="E22" s="58" t="str">
        <x:f>'販売記録'!C22</x:f>
        <x:v>P005</x:v>
      </x:c>
      <x:c r="F22" s="74" t="n">
        <x:f>VLOOKUP(E22,'商品マスタ'!$A$5:$D$9,4,FALSE)</x:f>
        <x:v>800</x:v>
      </x:c>
      <x:c r="G22" s="58" t="n">
        <x:f>'販売記録'!F22</x:f>
        <x:v>2</x:v>
      </x:c>
      <x:c r="H22" s="74" t="n">
        <x:f>F22*G22</x:f>
        <x:v>1600</x:v>
      </x:c>
      <x:c r="I22" s="58" t="str">
        <x:f>IF('販売記録'!E22="相川地区","相川",'販売記録'!E22)</x:f>
        <x:v>佐和田</x:v>
      </x:c>
      <x:c r="J22" s="59" t="str">
        <x:f>IF(OR('販売記録'!D22&lt;&gt;VLOOKUP(E22,'商品マスタ'!$A$5:$D$9,2,FALSE),'販売記録'!G22&lt;&gt;F22,'販売記録'!E22&lt;&gt;I22),"要確認","OK")</x:f>
        <x:v>要確認</x:v>
      </x:c>
    </x:row>
    <x:row r="23">
      <x:c r="D23" s="57" t="str">
        <x:f>'販売記録'!B23</x:f>
        <x:v>S020</x:v>
      </x:c>
      <x:c r="E23" s="58" t="str">
        <x:f>'販売記録'!C23</x:f>
        <x:v>P004</x:v>
      </x:c>
      <x:c r="F23" s="74" t="n">
        <x:f>VLOOKUP(E23,'商品マスタ'!$A$5:$D$9,4,FALSE)</x:f>
        <x:v>500</x:v>
      </x:c>
      <x:c r="G23" s="58" t="n">
        <x:f>'販売記録'!F23</x:f>
        <x:v>8</x:v>
      </x:c>
      <x:c r="H23" s="74" t="n">
        <x:f>F23*G23</x:f>
        <x:v>4000</x:v>
      </x:c>
      <x:c r="I23" s="58" t="str">
        <x:f>IF('販売記録'!E23="相川地区","相川",'販売記録'!E23)</x:f>
        <x:v>小木</x:v>
      </x:c>
      <x:c r="J23" s="59" t="str">
        <x:f>IF(OR('販売記録'!D23&lt;&gt;VLOOKUP(E23,'商品マスタ'!$A$5:$D$9,2,FALSE),'販売記録'!G23&lt;&gt;F23,'販売記録'!E23&lt;&gt;I23),"要確認","OK")</x:f>
        <x:v>OK</x:v>
      </x:c>
    </x:row>
    <x:row r="24">
      <x:c r="D24" s="57" t="str">
        <x:f>'販売記録'!B24</x:f>
        <x:v>S021</x:v>
      </x:c>
      <x:c r="E24" s="58" t="str">
        <x:f>'販売記録'!C24</x:f>
        <x:v>P003</x:v>
      </x:c>
      <x:c r="F24" s="74" t="n">
        <x:f>VLOOKUP(E24,'商品マスタ'!$A$5:$D$9,4,FALSE)</x:f>
        <x:v>900</x:v>
      </x:c>
      <x:c r="G24" s="58" t="n">
        <x:f>'販売記録'!F24</x:f>
        <x:v>4</x:v>
      </x:c>
      <x:c r="H24" s="74" t="n">
        <x:f>F24*G24</x:f>
        <x:v>3600</x:v>
      </x:c>
      <x:c r="I24" s="58" t="str">
        <x:f>IF('販売記録'!E24="相川地区","相川",'販売記録'!E24)</x:f>
        <x:v>両津</x:v>
      </x:c>
      <x:c r="J24" s="59" t="str">
        <x:f>IF(OR('販売記録'!D24&lt;&gt;VLOOKUP(E24,'商品マスタ'!$A$5:$D$9,2,FALSE),'販売記録'!G24&lt;&gt;F24,'販売記録'!E24&lt;&gt;I24),"要確認","OK")</x:f>
        <x:v>OK</x:v>
      </x:c>
    </x:row>
    <x:row r="25">
      <x:c r="D25" s="57" t="str">
        <x:f>'販売記録'!B25</x:f>
        <x:v>S022</x:v>
      </x:c>
      <x:c r="E25" s="58" t="str">
        <x:f>'販売記録'!C25</x:f>
        <x:v>P001</x:v>
      </x:c>
      <x:c r="F25" s="74" t="n">
        <x:f>VLOOKUP(E25,'商品マスタ'!$A$5:$D$9,4,FALSE)</x:f>
        <x:v>350</x:v>
      </x:c>
      <x:c r="G25" s="58" t="n">
        <x:f>'販売記録'!F25</x:f>
        <x:v>7</x:v>
      </x:c>
      <x:c r="H25" s="74" t="n">
        <x:f>F25*G25</x:f>
        <x:v>2450</x:v>
      </x:c>
      <x:c r="I25" s="58" t="str">
        <x:f>IF('販売記録'!E25="相川地区","相川",'販売記録'!E25)</x:f>
        <x:v>相川</x:v>
      </x:c>
      <x:c r="J25" s="59" t="str">
        <x:f>IF(OR('販売記録'!D25&lt;&gt;VLOOKUP(E25,'商品マスタ'!$A$5:$D$9,2,FALSE),'販売記録'!G25&lt;&gt;F25,'販売記録'!E25&lt;&gt;I25),"要確認","OK")</x:f>
        <x:v>OK</x:v>
      </x:c>
    </x:row>
    <x:row r="26">
      <x:c r="D26" s="57" t="str">
        <x:f>'販売記録'!B26</x:f>
        <x:v>S023</x:v>
      </x:c>
      <x:c r="E26" s="58" t="str">
        <x:f>'販売記録'!C26</x:f>
        <x:v>P002</x:v>
      </x:c>
      <x:c r="F26" s="74" t="n">
        <x:f>VLOOKUP(E26,'商品マスタ'!$A$5:$D$9,4,FALSE)</x:f>
        <x:v>680</x:v>
      </x:c>
      <x:c r="G26" s="58" t="n">
        <x:f>'販売記録'!F26</x:f>
        <x:v>3</x:v>
      </x:c>
      <x:c r="H26" s="74" t="n">
        <x:f>F26*G26</x:f>
        <x:v>2040</x:v>
      </x:c>
      <x:c r="I26" s="58" t="str">
        <x:f>IF('販売記録'!E26="相川地区","相川",'販売記録'!E26)</x:f>
        <x:v>佐和田</x:v>
      </x:c>
      <x:c r="J26" s="59" t="str">
        <x:f>IF(OR('販売記録'!D26&lt;&gt;VLOOKUP(E26,'商品マスタ'!$A$5:$D$9,2,FALSE),'販売記録'!G26&lt;&gt;F26,'販売記録'!E26&lt;&gt;I26),"要確認","OK")</x:f>
        <x:v>OK</x:v>
      </x:c>
    </x:row>
    <x:row r="27">
      <x:c r="D27" s="60" t="str">
        <x:f>'販売記録'!B27</x:f>
        <x:v>S024</x:v>
      </x:c>
      <x:c r="E27" s="61" t="str">
        <x:f>'販売記録'!C27</x:f>
        <x:v>P005</x:v>
      </x:c>
      <x:c r="F27" s="75" t="n">
        <x:f>VLOOKUP(E27,'商品マスタ'!$A$5:$D$9,4,FALSE)</x:f>
        <x:v>800</x:v>
      </x:c>
      <x:c r="G27" s="61" t="n">
        <x:f>'販売記録'!F27</x:f>
        <x:v>5</x:v>
      </x:c>
      <x:c r="H27" s="75" t="n">
        <x:f>F27*G27</x:f>
        <x:v>4000</x:v>
      </x:c>
      <x:c r="I27" s="61" t="str">
        <x:f>IF('販売記録'!E27="相川地区","相川",'販売記録'!E27)</x:f>
        <x:v>小木</x:v>
      </x:c>
      <x:c r="J27" s="62" t="str">
        <x:f>IF(OR('販売記録'!D27&lt;&gt;VLOOKUP(E27,'商品マスタ'!$A$5:$D$9,2,FALSE),'販売記録'!G27&lt;&gt;F27,'販売記録'!E27&lt;&gt;I27),"要確認","OK")</x:f>
        <x:v>OK</x:v>
      </x:c>
    </x:row>
  </x:sheetData>
  <x:mergeCells>
    <x:mergeCell ref="A1:J2"/>
  </x:mergeCells>
  <x:conditionalFormatting sqref="J4:J27">
    <x:cfRule type="containsText" dxfId="0" priority="1" operator="containsText" text="要確認"/>
  </x:conditionalFormatting>
  <x:pageMargins left="0.7" right="0.7" top="0.75" bottom="0.75" header="0.3" footer="0.3"/>
  <x:drawing xmlns:r="http://schemas.openxmlformats.org/officeDocument/2006/relationships" r:id="Rd45102146988424b"/>
</x:worksheet>
</file>